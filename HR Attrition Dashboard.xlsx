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Data Analytic\excel\Assignment 2\"/>
    </mc:Choice>
  </mc:AlternateContent>
  <xr:revisionPtr revIDLastSave="0" documentId="13_ncr:1_{0ABD98E7-77F5-49AF-8A8E-BE7954A7CF3B}" xr6:coauthVersionLast="47" xr6:coauthVersionMax="47" xr10:uidLastSave="{00000000-0000-0000-0000-000000000000}"/>
  <bookViews>
    <workbookView xWindow="-108" yWindow="-108" windowWidth="23256" windowHeight="12576" tabRatio="877" firstSheet="5" activeTab="9" xr2:uid="{5AF5D4AF-D10E-435D-ABA8-B0D0494ED23E}"/>
  </bookViews>
  <sheets>
    <sheet name="KPI" sheetId="19" r:id="rId1"/>
    <sheet name="total employee by gender" sheetId="20" r:id="rId2"/>
    <sheet name="Education wise Attrition" sheetId="21" r:id="rId3"/>
    <sheet name="Attrition by Job Role" sheetId="22" r:id="rId4"/>
    <sheet name="Department wise Attrition" sheetId="23" r:id="rId5"/>
    <sheet name="Department by Age Group" sheetId="24" r:id="rId6"/>
    <sheet name="Marital status by attrition" sheetId="25" r:id="rId7"/>
    <sheet name="DataSet" sheetId="1" r:id="rId8"/>
    <sheet name="Dashboard - Sample" sheetId="17" r:id="rId9"/>
    <sheet name="Blank - Layout" sheetId="16" r:id="rId10"/>
    <sheet name="All Icons used" sheetId="18" r:id="rId11"/>
  </sheets>
  <definedNames>
    <definedName name="_xlchart.v1.0" hidden="1">'Attrition by Job Role'!$D$4:$D$8</definedName>
    <definedName name="_xlchart.v1.1" hidden="1">'Attrition by Job Role'!$E$4:$E$8</definedName>
    <definedName name="_xlchart.v1.2" hidden="1">'Attrition by Job Role'!$D$4:$D$8</definedName>
    <definedName name="_xlchart.v1.3" hidden="1">'Attrition by Job Role'!$E$4:$E$8</definedName>
    <definedName name="KPI_1">KPI!$D$6</definedName>
    <definedName name="KPI_2">KPI!$D$14</definedName>
    <definedName name="KPI_3">KPI!$D$18</definedName>
    <definedName name="KPI_4">KPI!$D$21</definedName>
    <definedName name="KPI_5">KPI!$D$24</definedName>
    <definedName name="Slicer_Department1">#N/A</definedName>
    <definedName name="Slicer_Education_Field">#N/A</definedName>
    <definedName name="Slicer_Gender">#N/A</definedName>
  </definedNames>
  <calcPr calcId="191029"/>
  <pivotCaches>
    <pivotCache cacheId="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25" l="1"/>
  <c r="E5" i="25"/>
  <c r="D6" i="25"/>
  <c r="E6" i="25"/>
  <c r="E4" i="25"/>
  <c r="D4" i="25"/>
  <c r="D5" i="22" l="1"/>
  <c r="E5" i="22"/>
  <c r="D6" i="22"/>
  <c r="E6" i="22"/>
  <c r="D7" i="22"/>
  <c r="E7" i="22"/>
  <c r="D8" i="22"/>
  <c r="E8" i="22"/>
  <c r="E4" i="22"/>
  <c r="D4" i="22"/>
  <c r="D6" i="19"/>
  <c r="D24" i="19"/>
  <c r="B8" i="20"/>
  <c r="D14" i="19"/>
  <c r="B9" i="20"/>
  <c r="D21" i="19" l="1"/>
  <c r="D18" i="19"/>
  <c r="C8" i="20"/>
  <c r="C9" i="20"/>
</calcChain>
</file>

<file path=xl/sharedStrings.xml><?xml version="1.0" encoding="utf-8"?>
<sst xmlns="http://schemas.openxmlformats.org/spreadsheetml/2006/main" count="19223" uniqueCount="1568">
  <si>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</si>
  <si>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</si>
  <si>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</si>
  <si>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</si>
  <si>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</si>
  <si>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</si>
  <si>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</si>
  <si>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</si>
  <si>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</si>
  <si>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</si>
  <si>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</si>
  <si>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</si>
  <si>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</si>
  <si>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</si>
  <si>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</si>
  <si>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</si>
  <si>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</si>
  <si>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</si>
  <si>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</si>
  <si>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</si>
  <si>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</si>
  <si>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</si>
  <si>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</si>
  <si>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</si>
  <si>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</si>
  <si>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</si>
  <si>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</si>
  <si>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</si>
  <si>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</si>
  <si>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</si>
  <si>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</si>
  <si>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</si>
  <si>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</si>
  <si>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</si>
  <si>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</si>
  <si>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</si>
  <si>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</si>
  <si>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</si>
  <si>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</si>
  <si>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</si>
  <si>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</si>
  <si>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</si>
  <si>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</si>
  <si>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</si>
  <si>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</si>
  <si>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</si>
  <si>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</si>
  <si>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</si>
  <si>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</si>
  <si>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</si>
  <si>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</si>
  <si>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</si>
  <si>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</si>
  <si>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</si>
  <si>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</si>
  <si>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</si>
  <si>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</si>
  <si>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</si>
  <si>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</si>
  <si>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</si>
  <si>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</si>
  <si>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</si>
  <si>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</si>
  <si>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</si>
  <si>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</si>
  <si>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</si>
  <si>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</si>
  <si>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</si>
  <si>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</si>
  <si>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</si>
  <si>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</si>
  <si>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</si>
  <si>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</si>
  <si>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</si>
  <si>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</si>
  <si>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</si>
  <si>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</si>
  <si>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</si>
  <si>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</si>
  <si>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</si>
  <si>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</si>
  <si>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</si>
  <si>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</si>
  <si>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</si>
  <si>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</si>
  <si>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</si>
  <si>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</si>
  <si>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</si>
  <si>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</si>
  <si>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</si>
  <si>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</si>
  <si>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</si>
  <si>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</si>
  <si>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</si>
  <si>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</si>
  <si>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</si>
  <si>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</si>
  <si>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</si>
  <si>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</si>
  <si>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</si>
  <si>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</si>
  <si>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</si>
  <si>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</si>
  <si>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</si>
  <si>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</si>
  <si>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</si>
  <si>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</si>
  <si>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</si>
  <si>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</si>
  <si>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</si>
  <si>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</si>
  <si>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</si>
  <si>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</si>
  <si>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</si>
  <si>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</si>
  <si>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</si>
  <si>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</si>
  <si>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</si>
  <si>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</si>
  <si>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</si>
  <si>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</si>
  <si>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</si>
  <si>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</si>
  <si>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</si>
  <si>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</si>
  <si>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</si>
  <si>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</si>
  <si>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</si>
  <si>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</si>
  <si>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</si>
  <si>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</si>
  <si>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</si>
  <si>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</si>
  <si>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</si>
  <si>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</si>
  <si>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</si>
  <si>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</si>
  <si>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</si>
  <si>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</si>
  <si>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</si>
  <si>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</si>
  <si>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</si>
  <si>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</si>
  <si>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</si>
  <si>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</si>
  <si>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</si>
  <si>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</si>
  <si>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</si>
  <si>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</si>
  <si>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</si>
  <si>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</si>
  <si>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</si>
  <si>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</si>
  <si>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</si>
  <si>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</si>
  <si>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</si>
  <si>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</si>
  <si>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</si>
  <si>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</si>
  <si>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</si>
  <si>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</si>
  <si>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</si>
  <si>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</si>
  <si>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</si>
  <si>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</si>
  <si>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</si>
  <si>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</si>
  <si>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</si>
  <si>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</si>
  <si>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</si>
  <si>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</si>
  <si>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</si>
  <si>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</si>
  <si>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</si>
  <si>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</si>
  <si>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</si>
  <si>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</si>
  <si>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</si>
  <si>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</si>
  <si>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</si>
  <si>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</si>
  <si>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</si>
  <si>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</si>
  <si>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</si>
  <si>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</si>
  <si>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</si>
  <si>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</si>
  <si>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</si>
  <si>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</si>
  <si>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</si>
  <si>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</si>
  <si>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</si>
  <si>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</si>
  <si>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</si>
  <si>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</si>
  <si>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</si>
  <si>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</si>
  <si>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</si>
  <si>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</si>
  <si>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</si>
  <si>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</si>
  <si>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</si>
  <si>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</si>
  <si>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</si>
  <si>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</si>
  <si>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</si>
  <si>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</si>
  <si>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</si>
  <si>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</si>
  <si>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</si>
  <si>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</si>
  <si>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</si>
  <si>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</si>
  <si>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</si>
  <si>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</si>
  <si>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</si>
  <si>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</si>
  <si>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</si>
  <si>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</si>
  <si>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</si>
  <si>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</si>
  <si>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</si>
  <si>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</si>
  <si>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</si>
  <si>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</si>
  <si>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</si>
  <si>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</si>
  <si>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</si>
  <si>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</si>
  <si>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</si>
  <si>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</si>
  <si>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</si>
  <si>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</si>
  <si>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</si>
  <si>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</si>
  <si>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</si>
  <si>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</si>
  <si>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</si>
  <si>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</si>
  <si>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</si>
  <si>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</si>
  <si>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</si>
  <si>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</si>
  <si>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</si>
  <si>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</si>
  <si>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</si>
  <si>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</si>
  <si>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</si>
  <si>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</si>
  <si>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</si>
  <si>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</si>
  <si>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</si>
  <si>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</si>
  <si>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</si>
  <si>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</si>
  <si>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</si>
  <si>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</si>
  <si>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</si>
  <si>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</si>
  <si>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</si>
  <si>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</si>
  <si>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</si>
  <si>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</si>
  <si>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</si>
  <si>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</si>
  <si>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</si>
  <si>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</si>
  <si>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</si>
  <si>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</si>
  <si>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</si>
  <si>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</si>
  <si>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</si>
  <si>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</si>
  <si>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</si>
  <si>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</si>
  <si>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</si>
  <si>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</si>
  <si>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</si>
  <si>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</si>
  <si>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</si>
  <si>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</si>
  <si>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</si>
  <si>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</si>
  <si>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</si>
  <si>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</si>
  <si>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</si>
  <si>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</si>
  <si>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</si>
  <si>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</si>
  <si>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</si>
  <si>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</si>
  <si>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</si>
  <si>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</si>
  <si>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</si>
  <si>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</si>
  <si>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</si>
  <si>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</si>
  <si>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</si>
  <si>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</si>
  <si>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</si>
  <si>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</si>
  <si>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</si>
  <si>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</si>
  <si>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</si>
  <si>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</si>
  <si>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</si>
  <si>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</si>
  <si>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</si>
  <si>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</si>
  <si>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</si>
  <si>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</si>
  <si>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</si>
  <si>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</si>
  <si>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</si>
  <si>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</si>
  <si>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</si>
  <si>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</si>
  <si>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</si>
  <si>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</si>
  <si>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</si>
  <si>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</si>
  <si>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</si>
  <si>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</si>
  <si>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</si>
  <si>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</si>
  <si>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</si>
  <si>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</si>
  <si>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</si>
  <si>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</si>
  <si>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</si>
  <si>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</si>
  <si>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</si>
  <si>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</si>
  <si>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</si>
  <si>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</si>
  <si>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</si>
  <si>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</si>
  <si>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</si>
  <si>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</si>
  <si>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</si>
  <si>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</si>
  <si>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</si>
  <si>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</si>
  <si>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</si>
  <si>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</si>
  <si>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</si>
  <si>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</si>
  <si>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</si>
  <si>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</si>
  <si>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</si>
  <si>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</si>
  <si>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</si>
  <si>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</si>
  <si>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</si>
  <si>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</si>
  <si>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</si>
  <si>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</si>
  <si>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</si>
  <si>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</si>
  <si>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</si>
  <si>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</si>
  <si>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</si>
  <si>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</si>
  <si>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</si>
  <si>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</si>
  <si>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</si>
  <si>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</si>
  <si>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</si>
  <si>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</si>
  <si>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</si>
  <si>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</si>
  <si>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</si>
  <si>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</si>
  <si>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</si>
  <si>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</si>
  <si>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</si>
  <si>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</si>
  <si>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</si>
  <si>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</si>
  <si>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</si>
  <si>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</si>
  <si>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</si>
  <si>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</si>
  <si>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</si>
  <si>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</si>
  <si>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</si>
  <si>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</si>
  <si>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</si>
  <si>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</si>
  <si>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</si>
  <si>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</si>
  <si>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</si>
  <si>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</si>
  <si>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</si>
  <si>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</si>
  <si>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</si>
  <si>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</si>
  <si>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</si>
  <si>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</si>
  <si>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</si>
  <si>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</si>
  <si>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</si>
  <si>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</si>
  <si>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</si>
  <si>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</si>
  <si>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</si>
  <si>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</si>
  <si>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</si>
  <si>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</si>
  <si>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</si>
  <si>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</si>
  <si>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</si>
  <si>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</si>
  <si>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</si>
  <si>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</si>
  <si>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</si>
  <si>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</si>
  <si>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</si>
  <si>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</si>
  <si>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</si>
  <si>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</si>
  <si>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</si>
  <si>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</si>
  <si>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</si>
  <si>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</si>
  <si>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</si>
  <si>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</si>
  <si>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</si>
  <si>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</si>
  <si>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</si>
  <si>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</si>
  <si>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</si>
  <si>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</si>
  <si>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</si>
  <si>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</si>
  <si>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</si>
  <si>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</si>
  <si>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</si>
  <si>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</si>
  <si>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</si>
  <si>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</si>
  <si>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</si>
  <si>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</si>
  <si>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</si>
  <si>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</si>
  <si>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</si>
  <si>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</si>
  <si>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</si>
  <si>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</si>
  <si>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</si>
  <si>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</si>
  <si>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</si>
  <si>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</si>
  <si>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</si>
  <si>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</si>
  <si>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</si>
  <si>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</si>
  <si>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</si>
  <si>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</si>
  <si>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</si>
  <si>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</si>
  <si>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</si>
  <si>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</si>
  <si>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</si>
  <si>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</si>
  <si>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</si>
  <si>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</si>
  <si>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</si>
  <si>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</si>
  <si>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</si>
  <si>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</si>
  <si>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</si>
  <si>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</si>
  <si>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</si>
  <si>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</si>
  <si>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</si>
  <si>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</si>
  <si>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</si>
  <si>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</si>
  <si>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</si>
  <si>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</si>
  <si>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</si>
  <si>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</si>
  <si>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</si>
  <si>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</si>
  <si>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</si>
  <si>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</si>
  <si>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</si>
  <si>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</si>
  <si>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</si>
  <si>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</si>
  <si>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</si>
  <si>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</si>
  <si>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</si>
  <si>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</si>
  <si>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</si>
  <si>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</si>
  <si>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</si>
  <si>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</si>
  <si>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</si>
  <si>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</si>
  <si>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</si>
  <si>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</si>
  <si>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</si>
  <si>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</si>
  <si>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</si>
  <si>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</si>
  <si>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</si>
  <si>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</si>
  <si>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</si>
  <si>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</si>
  <si>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</si>
  <si>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</si>
  <si>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</si>
  <si>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</si>
  <si>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</si>
  <si>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</si>
  <si>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</si>
  <si>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</si>
  <si>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</si>
  <si>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</si>
  <si>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</si>
  <si>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</si>
  <si>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</si>
  <si>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</si>
  <si>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</si>
  <si>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</si>
  <si>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</si>
  <si>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</si>
  <si>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</si>
  <si>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</si>
  <si>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</si>
  <si>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</si>
  <si>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</si>
  <si>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</si>
  <si>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</si>
  <si>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</si>
  <si>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</si>
  <si>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</si>
  <si>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</si>
  <si>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</si>
  <si>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</si>
  <si>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</si>
  <si>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</si>
  <si>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</si>
  <si>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</si>
  <si>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</si>
  <si>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</si>
  <si>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</si>
  <si>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</si>
  <si>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</si>
  <si>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</si>
  <si>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</si>
  <si>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</si>
  <si>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</si>
  <si>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</si>
  <si>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</si>
  <si>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</si>
  <si>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</si>
  <si>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</si>
  <si>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</si>
  <si>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</si>
  <si>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</si>
  <si>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</si>
  <si>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</si>
  <si>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</si>
  <si>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</si>
  <si>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</si>
  <si>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</si>
  <si>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</si>
  <si>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</si>
  <si>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</si>
  <si>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</si>
  <si>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</si>
  <si>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</si>
  <si>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</si>
  <si>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</si>
  <si>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</si>
  <si>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</si>
  <si>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</si>
  <si>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</si>
  <si>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</si>
  <si>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</si>
  <si>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</si>
  <si>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</si>
  <si>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</si>
  <si>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</si>
  <si>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</si>
  <si>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</si>
  <si>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</si>
  <si>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</si>
  <si>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</si>
  <si>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</si>
  <si>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</si>
  <si>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</si>
  <si>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</si>
  <si>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</si>
  <si>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</si>
  <si>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</si>
  <si>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</si>
  <si>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</si>
  <si>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</si>
  <si>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</si>
  <si>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</si>
  <si>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</si>
  <si>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</si>
  <si>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</si>
  <si>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</si>
  <si>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</si>
  <si>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</si>
  <si>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</si>
  <si>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</si>
  <si>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</si>
  <si>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</si>
  <si>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</si>
  <si>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</si>
  <si>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</si>
  <si>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</si>
  <si>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</si>
  <si>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</si>
  <si>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</si>
  <si>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</si>
  <si>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</si>
  <si>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</si>
  <si>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</si>
  <si>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</si>
  <si>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</si>
  <si>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</si>
  <si>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</si>
  <si>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</si>
  <si>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</si>
  <si>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</si>
  <si>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</si>
  <si>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</si>
  <si>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</si>
  <si>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</si>
  <si>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</si>
  <si>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</si>
  <si>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</si>
  <si>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</si>
  <si>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</si>
  <si>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</si>
  <si>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</si>
  <si>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</si>
  <si>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</si>
  <si>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</si>
  <si>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</si>
  <si>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</si>
  <si>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</si>
  <si>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</si>
  <si>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</si>
  <si>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</si>
  <si>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</si>
  <si>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</si>
  <si>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</si>
  <si>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</si>
  <si>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</si>
  <si>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</si>
  <si>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</si>
  <si>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</si>
  <si>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</si>
  <si>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</si>
  <si>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</si>
  <si>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</si>
  <si>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</si>
  <si>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</si>
  <si>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</si>
  <si>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</si>
  <si>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</si>
  <si>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</si>
  <si>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</si>
  <si>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</si>
  <si>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</si>
  <si>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</si>
  <si>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</si>
  <si>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</si>
  <si>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</si>
  <si>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</si>
  <si>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</si>
  <si>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</si>
  <si>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</si>
  <si>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</si>
  <si>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</si>
  <si>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</si>
  <si>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</si>
  <si>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</si>
  <si>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</si>
  <si>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</si>
  <si>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</si>
  <si>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</si>
  <si>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</si>
  <si>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</si>
  <si>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</si>
  <si>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</si>
  <si>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</si>
  <si>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</si>
  <si>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</si>
  <si>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</si>
  <si>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</si>
  <si>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</si>
  <si>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</si>
  <si>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</si>
  <si>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</si>
  <si>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</si>
  <si>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</si>
  <si>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</si>
  <si>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</si>
  <si>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</si>
  <si>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</si>
  <si>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</si>
  <si>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</si>
  <si>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</si>
  <si>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</si>
  <si>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</si>
  <si>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</si>
  <si>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</si>
  <si>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</si>
  <si>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</si>
  <si>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</si>
  <si>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</si>
  <si>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</si>
  <si>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</si>
  <si>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</si>
  <si>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</si>
  <si>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</si>
  <si>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</si>
  <si>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</si>
  <si>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</si>
  <si>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</si>
  <si>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</si>
  <si>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</si>
  <si>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</si>
  <si>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</si>
  <si>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</si>
  <si>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</si>
  <si>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</si>
  <si>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</si>
  <si>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</si>
  <si>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</si>
  <si>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</si>
  <si>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</si>
  <si>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</si>
  <si>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</si>
  <si>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</si>
  <si>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</si>
  <si>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</si>
  <si>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</si>
  <si>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</si>
  <si>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</si>
  <si>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</si>
  <si>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</si>
  <si>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</si>
  <si>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</si>
  <si>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</si>
  <si>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</si>
  <si>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</si>
  <si>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</si>
  <si>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</si>
  <si>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</si>
  <si>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</si>
  <si>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</si>
  <si>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</si>
  <si>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</si>
  <si>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</si>
  <si>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</si>
  <si>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</si>
  <si>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</si>
  <si>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</si>
  <si>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</si>
  <si>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</si>
  <si>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</si>
  <si>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</si>
  <si>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</si>
  <si>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</si>
  <si>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</si>
  <si>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</si>
  <si>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</si>
  <si>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</si>
  <si>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</si>
  <si>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</si>
  <si>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</si>
  <si>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</si>
  <si>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</si>
  <si>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</si>
  <si>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</si>
  <si>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</si>
  <si>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</si>
  <si>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</si>
  <si>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</si>
  <si>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</si>
  <si>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</si>
  <si>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</si>
  <si>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</si>
  <si>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</si>
  <si>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</si>
  <si>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</si>
  <si>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</si>
  <si>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</si>
  <si>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</si>
  <si>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</si>
  <si>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</si>
  <si>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</si>
  <si>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</si>
  <si>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</si>
  <si>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</si>
  <si>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</si>
  <si>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</si>
  <si>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</si>
  <si>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</si>
  <si>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</si>
  <si>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</si>
  <si>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</si>
  <si>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</si>
  <si>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</si>
  <si>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</si>
  <si>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</si>
  <si>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</si>
  <si>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</si>
  <si>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</si>
  <si>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</si>
  <si>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</si>
  <si>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</si>
  <si>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</si>
  <si>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</si>
  <si>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</si>
  <si>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</si>
  <si>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</si>
  <si>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</si>
  <si>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</si>
  <si>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</si>
  <si>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</si>
  <si>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</si>
  <si>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</si>
  <si>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</si>
  <si>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</si>
  <si>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</si>
  <si>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</si>
  <si>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</si>
  <si>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</si>
  <si>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</si>
  <si>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</si>
  <si>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</si>
  <si>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</si>
  <si>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</si>
  <si>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</si>
  <si>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</si>
  <si>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</si>
  <si>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</si>
  <si>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</si>
  <si>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</si>
  <si>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</si>
  <si>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</si>
  <si>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</si>
  <si>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</si>
  <si>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</si>
  <si>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</si>
  <si>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</si>
  <si>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</si>
  <si>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</si>
  <si>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</si>
  <si>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</si>
  <si>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</si>
  <si>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</si>
  <si>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</si>
  <si>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</si>
  <si>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</si>
  <si>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</si>
  <si>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</si>
  <si>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</si>
  <si>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</si>
  <si>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</si>
  <si>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</si>
  <si>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</si>
  <si>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</si>
  <si>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</si>
  <si>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</si>
  <si>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</si>
  <si>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</si>
  <si>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</si>
  <si>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</si>
  <si>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</si>
  <si>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</si>
  <si>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</si>
  <si>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</si>
  <si>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</si>
  <si>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</si>
  <si>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</si>
  <si>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</si>
  <si>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</si>
  <si>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</si>
  <si>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</si>
  <si>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</si>
  <si>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</si>
  <si>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</si>
  <si>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</si>
  <si>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</si>
  <si>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</si>
  <si>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</si>
  <si>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</si>
  <si>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</si>
  <si>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</si>
  <si>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</si>
  <si>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</si>
  <si>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</si>
  <si>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</si>
  <si>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</si>
  <si>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</si>
  <si>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</si>
  <si>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</si>
  <si>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</si>
  <si>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</si>
  <si>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</si>
  <si>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</si>
  <si>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</si>
  <si>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</si>
  <si>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</si>
  <si>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</si>
  <si>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</si>
  <si>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</si>
  <si>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</si>
  <si>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</si>
  <si>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</si>
  <si>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</si>
  <si>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</si>
  <si>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</si>
  <si>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</si>
  <si>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</si>
  <si>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</si>
  <si>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</si>
  <si>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</si>
  <si>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</si>
  <si>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</si>
  <si>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</si>
  <si>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</si>
  <si>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</si>
  <si>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</si>
  <si>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</si>
  <si>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</si>
  <si>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</si>
  <si>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</si>
  <si>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</si>
  <si>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</si>
  <si>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</si>
  <si>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</si>
  <si>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</si>
  <si>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</si>
  <si>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</si>
  <si>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</si>
  <si>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</si>
  <si>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</si>
  <si>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</si>
  <si>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</si>
  <si>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</si>
  <si>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</si>
  <si>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</si>
  <si>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</si>
  <si>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</si>
  <si>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</si>
  <si>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</si>
  <si>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</si>
  <si>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</si>
  <si>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</si>
  <si>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</si>
  <si>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</si>
  <si>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</si>
  <si>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</si>
  <si>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</si>
  <si>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</si>
  <si>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</si>
  <si>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</si>
  <si>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</si>
  <si>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</si>
  <si>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</si>
  <si>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</si>
  <si>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</si>
  <si>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</si>
  <si>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</si>
  <si>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</si>
  <si>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</si>
  <si>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</si>
  <si>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</si>
  <si>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</si>
  <si>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</si>
  <si>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</si>
  <si>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</si>
  <si>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</si>
  <si>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</si>
  <si>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</si>
  <si>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</si>
  <si>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</si>
  <si>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</si>
  <si>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</si>
  <si>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</si>
  <si>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</si>
  <si>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</si>
  <si>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</si>
  <si>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</si>
  <si>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</si>
  <si>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</si>
  <si>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</si>
  <si>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</si>
  <si>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</si>
  <si>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</si>
  <si>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</si>
  <si>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</si>
  <si>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</si>
  <si>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</si>
  <si>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</si>
  <si>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</si>
  <si>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</si>
  <si>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</si>
  <si>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</si>
  <si>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</si>
  <si>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</si>
  <si>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</si>
  <si>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</si>
  <si>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</si>
  <si>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</si>
  <si>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</si>
  <si>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</si>
  <si>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</si>
  <si>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</si>
  <si>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</si>
  <si>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</si>
  <si>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</si>
  <si>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</si>
  <si>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</si>
  <si>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</si>
  <si>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</si>
  <si>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</si>
  <si>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</si>
  <si>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</si>
  <si>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</si>
  <si>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</si>
  <si>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</si>
  <si>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</si>
  <si>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</si>
  <si>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</si>
  <si>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</si>
  <si>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</si>
  <si>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</si>
  <si>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</si>
  <si>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</si>
  <si>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</si>
  <si>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</si>
  <si>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</si>
  <si>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</si>
  <si>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</si>
  <si>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</si>
  <si>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</si>
  <si>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</si>
  <si>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</si>
  <si>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</si>
  <si>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</si>
  <si>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</si>
  <si>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</si>
  <si>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</si>
  <si>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</si>
  <si>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</si>
  <si>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</si>
  <si>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</si>
  <si>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</si>
  <si>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</si>
  <si>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</si>
  <si>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</si>
  <si>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</si>
  <si>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</si>
  <si>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</si>
  <si>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</si>
  <si>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</si>
  <si>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</si>
  <si>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</si>
  <si>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</si>
  <si>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</si>
  <si>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</si>
  <si>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</si>
  <si>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</si>
  <si>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</si>
  <si>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</si>
  <si>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</si>
  <si>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</si>
  <si>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</si>
  <si>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</si>
  <si>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</si>
  <si>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</si>
  <si>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</si>
  <si>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</si>
  <si>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</si>
  <si>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</si>
  <si>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</si>
  <si>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</si>
  <si>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</si>
  <si>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</si>
  <si>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</si>
  <si>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</si>
  <si>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</si>
  <si>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</si>
  <si>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</si>
  <si>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</si>
  <si>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</si>
  <si>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</si>
  <si>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</si>
  <si>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</si>
  <si>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</si>
  <si>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</si>
  <si>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</si>
  <si>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</si>
  <si>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</si>
  <si>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</si>
  <si>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</si>
  <si>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</si>
  <si>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</si>
  <si>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</si>
  <si>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</si>
  <si>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</si>
  <si>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</si>
  <si>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</si>
  <si>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</si>
  <si>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</si>
  <si>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</si>
  <si>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</si>
  <si>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</si>
  <si>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</si>
  <si>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</si>
  <si>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</si>
  <si>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</si>
  <si>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</si>
  <si>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</si>
  <si>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</si>
  <si>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</si>
  <si>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</si>
  <si>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</si>
  <si>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</si>
  <si>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</si>
  <si>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</si>
  <si>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</si>
  <si>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</si>
  <si>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</si>
  <si>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</si>
  <si>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</si>
  <si>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</si>
  <si>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</si>
  <si>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</si>
  <si>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</si>
  <si>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</si>
  <si>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</si>
  <si>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</si>
  <si>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</si>
  <si>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</si>
  <si>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</si>
  <si>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</si>
  <si>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</si>
  <si>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</si>
  <si>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</si>
  <si>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</si>
  <si>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</si>
  <si>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</si>
  <si>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</si>
  <si>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</si>
  <si>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</si>
  <si>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</si>
  <si>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</si>
  <si>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</si>
  <si>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</si>
  <si>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</si>
  <si>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</si>
  <si>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</si>
  <si>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</si>
  <si>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</si>
  <si>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</si>
  <si>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</si>
  <si>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</si>
  <si>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</si>
  <si>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</si>
  <si>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</si>
  <si>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</si>
  <si>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</si>
  <si>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</si>
  <si>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</si>
  <si>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</si>
  <si>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</si>
  <si>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</si>
  <si>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</si>
  <si>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</si>
  <si>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</si>
  <si>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</si>
  <si>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</si>
  <si>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</si>
  <si>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</si>
  <si>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</si>
  <si>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</si>
  <si>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</si>
  <si>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</si>
  <si>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</si>
  <si>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</si>
  <si>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</si>
  <si>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</si>
  <si>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</si>
  <si>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</si>
  <si>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</si>
  <si>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</si>
  <si>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</si>
  <si>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</si>
  <si>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</si>
  <si>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</si>
  <si>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</si>
  <si>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</si>
  <si>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</si>
  <si>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</si>
  <si>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</si>
  <si>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</si>
  <si>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</si>
  <si>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</si>
  <si>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</si>
  <si>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</si>
  <si>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</si>
  <si>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</si>
  <si>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</si>
  <si>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</si>
  <si>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</si>
  <si>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</si>
  <si>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</si>
  <si>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</si>
  <si>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</si>
  <si>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</si>
  <si>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</si>
  <si>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</si>
  <si>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</si>
  <si>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</si>
  <si>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</si>
  <si>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</si>
  <si>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</si>
  <si>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</si>
  <si>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</si>
  <si>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</si>
  <si>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</si>
  <si>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</si>
  <si>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</si>
  <si>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</si>
  <si>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</si>
  <si>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</si>
  <si>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</si>
  <si>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</si>
  <si>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</si>
  <si>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</si>
  <si>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</si>
  <si>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</si>
  <si>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</si>
  <si>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</si>
  <si>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</si>
  <si>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</si>
  <si>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</si>
  <si>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</si>
  <si>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</si>
  <si>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</si>
  <si>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</si>
  <si>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</si>
  <si>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</si>
  <si>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</si>
  <si>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</si>
  <si>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</si>
  <si>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</si>
  <si>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</si>
  <si>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</si>
  <si>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</si>
  <si>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</si>
  <si>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</si>
  <si>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</si>
  <si>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</si>
  <si>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</si>
  <si>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</si>
  <si>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</si>
  <si>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</si>
  <si>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</si>
  <si>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</si>
  <si>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</si>
  <si>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</si>
  <si>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</si>
  <si>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</si>
  <si>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</si>
  <si>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</si>
  <si>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</si>
  <si>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</si>
  <si>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</si>
  <si>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</si>
  <si>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</si>
  <si>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</si>
  <si>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</si>
  <si>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</si>
  <si>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</si>
  <si>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</si>
  <si>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</si>
  <si>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</si>
  <si>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</si>
  <si>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</si>
  <si>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</si>
  <si>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</si>
  <si>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</si>
  <si>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</si>
  <si>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</si>
  <si>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</si>
  <si>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</si>
  <si>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</si>
  <si>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</si>
  <si>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</si>
  <si>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</si>
  <si>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</si>
  <si>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</si>
  <si>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</si>
  <si>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</si>
  <si>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</si>
  <si>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</si>
  <si>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</si>
  <si>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</si>
  <si>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</si>
  <si>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</si>
  <si>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</si>
  <si>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</si>
  <si>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</si>
  <si>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</si>
  <si>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</si>
  <si>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</si>
  <si>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</si>
  <si>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</si>
  <si>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</si>
  <si>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</si>
  <si>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</si>
  <si>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</si>
  <si>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</si>
  <si>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</si>
  <si>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</si>
  <si>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</si>
  <si>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</si>
  <si>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</si>
  <si>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</si>
  <si>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</si>
  <si>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</si>
  <si>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</si>
  <si>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</si>
  <si>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</si>
  <si>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</si>
  <si>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</si>
  <si>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</si>
  <si>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</si>
  <si>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</si>
  <si>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</si>
  <si>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</si>
  <si>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</si>
  <si>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</si>
  <si>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</si>
  <si>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</si>
  <si>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</si>
  <si>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</si>
  <si>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</si>
  <si>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</si>
  <si>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</si>
  <si>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</si>
  <si>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</si>
  <si>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</si>
  <si>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</si>
  <si>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</si>
  <si>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</si>
  <si>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</si>
  <si>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</si>
  <si>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</si>
  <si>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</si>
  <si>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</si>
  <si>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</si>
  <si>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</si>
  <si>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</si>
  <si>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</si>
  <si>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</si>
  <si>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</si>
  <si>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</si>
  <si>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</si>
  <si>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</si>
  <si>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</si>
  <si>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</si>
  <si>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</si>
  <si>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</si>
  <si>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</si>
  <si>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</si>
  <si>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</si>
  <si>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</si>
  <si>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</si>
  <si>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</si>
  <si>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</si>
  <si>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</si>
  <si>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</si>
  <si>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</si>
  <si>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</si>
  <si>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</si>
  <si>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</si>
  <si>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</si>
  <si>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</si>
  <si>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</si>
  <si>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</si>
  <si>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</si>
  <si>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</si>
  <si>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</si>
  <si>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</si>
  <si>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</si>
  <si>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</si>
  <si>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</si>
  <si>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</si>
  <si>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</si>
  <si>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</si>
  <si>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</si>
  <si>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</si>
  <si>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</si>
  <si>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</si>
  <si>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</si>
  <si>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</si>
  <si>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</si>
  <si>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</si>
  <si>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</si>
  <si>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</si>
  <si>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</si>
  <si>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</si>
  <si>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</si>
  <si>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</si>
  <si>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</si>
  <si>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</si>
  <si>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</si>
  <si>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</si>
  <si>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</si>
  <si>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</si>
  <si>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</si>
  <si>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</si>
  <si>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</si>
  <si>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</si>
  <si>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</si>
  <si>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</si>
  <si>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</si>
  <si>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</si>
  <si>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</si>
  <si>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</si>
  <si>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</si>
  <si>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</si>
  <si>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</si>
  <si>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</si>
  <si>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</si>
  <si>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</si>
  <si>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</si>
  <si>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</si>
  <si>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</si>
  <si>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</si>
  <si>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</si>
  <si>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</si>
  <si>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</si>
  <si>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</si>
  <si>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</si>
  <si>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</si>
  <si>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</si>
  <si>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</si>
  <si>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</si>
  <si>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</si>
  <si>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</si>
  <si>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</si>
  <si>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</si>
  <si>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</si>
  <si>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</si>
  <si>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</si>
  <si>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</si>
  <si>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</si>
  <si>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</si>
  <si>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</si>
  <si>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</si>
  <si>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</si>
  <si>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</si>
  <si>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</si>
  <si>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</si>
  <si>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</si>
  <si>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</si>
  <si>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</si>
  <si>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</si>
  <si>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</si>
  <si>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</si>
  <si>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</si>
  <si>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</si>
  <si>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</si>
  <si>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</si>
  <si>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</si>
  <si>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</si>
  <si>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</si>
  <si>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</si>
  <si>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</si>
  <si>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</si>
  <si>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</si>
  <si>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</si>
  <si>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</si>
  <si>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</si>
  <si>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</si>
  <si>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</si>
  <si>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</si>
  <si>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</si>
  <si>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</si>
  <si>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</si>
  <si>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</si>
  <si>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</si>
  <si>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</si>
  <si>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</si>
  <si>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</si>
  <si>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</si>
  <si>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</si>
  <si>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</si>
  <si>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</si>
  <si>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</si>
  <si>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</si>
  <si>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</si>
  <si>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</si>
  <si>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</si>
  <si>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</si>
  <si>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</si>
  <si>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</si>
  <si>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</si>
  <si>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</si>
  <si>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</si>
  <si>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</si>
  <si>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</si>
  <si>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</si>
  <si>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</si>
  <si>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</si>
  <si>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</si>
  <si>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</si>
  <si>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</si>
  <si>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</si>
  <si>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</si>
  <si>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</si>
  <si>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</si>
  <si>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</si>
  <si>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</si>
  <si>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</si>
  <si>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</si>
  <si>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</si>
  <si>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</si>
  <si>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</si>
  <si>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</si>
  <si>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</si>
  <si>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</si>
  <si>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</si>
  <si>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</si>
  <si>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</si>
  <si>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</si>
  <si>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</si>
  <si>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</si>
  <si>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</si>
  <si>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</si>
  <si>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</si>
  <si>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</si>
  <si>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</si>
  <si>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</si>
  <si>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</si>
  <si>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</si>
  <si>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Attrition</t>
  </si>
  <si>
    <t>Count of emp no</t>
  </si>
  <si>
    <t>Average of Age</t>
  </si>
  <si>
    <t>Total Employee</t>
  </si>
  <si>
    <t>Total Attrition</t>
  </si>
  <si>
    <t>Active Employee</t>
  </si>
  <si>
    <t>Attrition Rate</t>
  </si>
  <si>
    <t>Average Age</t>
  </si>
  <si>
    <t>Row Labels</t>
  </si>
  <si>
    <t>Grand Total</t>
  </si>
  <si>
    <t>Sum of Employee Count</t>
  </si>
  <si>
    <t>Count of Employee Number</t>
  </si>
  <si>
    <t>Count of Education Field</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</si>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</sst>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1" fontId="0" fillId="0" borderId="0" xfId="0" applyNumberFormat="1"/>
    <xf numFmtId="10" fontId="0" fillId="0" borderId="0" xfId="0" applyNumberFormat="1"/>
    <xf numFmtId="0" fontId="0" fillId="0" borderId="0" xfId="0" applyAlignment="1">
      <alignment horizontal="left"/>
    </xf>
    <xf numFmtId="9" fontId="0" fillId="0" borderId="0" xfId="1" applyFont="1"/>
    <xf numFmtId="0" fontId="0" fillId="2" borderId="0" xfId="0" applyFill="1"/>
    <xf numFmtId="9" fontId="0" fillId="0" borderId="0" xfId="0" applyNumberFormat="1"/>
    <xf numFmtId="0" fontId="0" fillId="0" borderId="0" xfId="0" applyNumberFormat="1"/>
  </cellXfs>
  <cellStyles count="2">
    <cellStyle name="Normal" xfId="0" builtinId="0"/>
    <cellStyle name="Percent" xfId="1" builtinId="5"/>
  </cellStyles>
  <dxfs count="25">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3" formatCode="0%"/>
    </dxf>
    <dxf>
      <font>
        <sz val="10"/>
        <color theme="8" tint="-0.24994659260841701"/>
      </font>
    </dxf>
    <dxf>
      <font>
        <b/>
        <i val="0"/>
        <color theme="0"/>
        <name val="Calibri"/>
        <family val="2"/>
        <scheme val="minor"/>
      </font>
      <fill>
        <patternFill patternType="solid">
          <bgColor rgb="FFABC0E4"/>
        </patternFill>
      </fill>
      <border diagonalUp="0" diagonalDown="0">
        <left/>
        <right/>
        <top/>
        <bottom/>
        <vertical/>
        <horizontal/>
      </border>
    </dxf>
    <dxf>
      <numFmt numFmtId="13" formatCode="0%"/>
    </dxf>
    <dxf>
      <numFmt numFmtId="1" formatCode="0"/>
    </dxf>
  </dxfs>
  <tableStyles count="1" defaultTableStyle="TableStyleMedium2" defaultPivotStyle="PivotStyleLight16">
    <tableStyle name="Slicer" pivot="0" table="0" count="5" xr9:uid="{5389CB81-1219-4435-BC43-F528E54371C1}">
      <tableStyleElement type="wholeTable" dxfId="22"/>
      <tableStyleElement type="headerRow" dxfId="21"/>
    </tableStyle>
  </tableStyles>
  <colors>
    <mruColors>
      <color rgb="FFABC0E4"/>
      <color rgb="FFE24C85"/>
      <color rgb="FFE04E63"/>
      <color rgb="FFED97A3"/>
      <color rgb="FF305494"/>
      <color rgb="FF78A442"/>
      <color rgb="FF648937"/>
      <color rgb="FF325C32"/>
      <color rgb="FF294B29"/>
      <color rgb="FF740000"/>
    </mruColors>
  </colors>
  <extLst>
    <ext xmlns:x14="http://schemas.microsoft.com/office/spreadsheetml/2009/9/main" uri="{46F421CA-312F-682f-3DD2-61675219B42D}">
      <x14:dxfs count="27">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4">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45B-40DC-A1A1-F4721916BFAE}"/>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2-445B-40DC-A1A1-F4721916BFAE}"/>
              </c:ext>
            </c:extLst>
          </c:dPt>
          <c:dLbls>
            <c:dLbl>
              <c:idx val="0"/>
              <c:layout>
                <c:manualLayout>
                  <c:x val="8.333333333333333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5B-40DC-A1A1-F4721916BFAE}"/>
                </c:ext>
              </c:extLst>
            </c:dLbl>
            <c:dLbl>
              <c:idx val="1"/>
              <c:layout>
                <c:manualLayout>
                  <c:x val="5.5555555555555558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5B-40DC-A1A1-F4721916BFA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'total employee by gender'!$C$8:$C$9</c:f>
              <c:numCache>
                <c:formatCode>0%</c:formatCode>
                <c:ptCount val="2"/>
                <c:pt idx="0">
                  <c:v>0.4</c:v>
                </c:pt>
                <c:pt idx="1">
                  <c:v>0.6</c:v>
                </c:pt>
              </c:numCache>
            </c:numRef>
          </c:val>
          <c:extLst>
            <c:ext xmlns:c16="http://schemas.microsoft.com/office/drawing/2014/chart" uri="{C3380CC4-5D6E-409C-BE32-E72D297353CC}">
              <c16:uniqueId val="{00000000-445B-40DC-A1A1-F4721916BFAE}"/>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02 - HR Attrition Dashboard.xlsx]Education wise Attrition!Edu w Attr</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D31-4028-88E6-6F3FA241B414}"/>
            </c:ext>
          </c:extLst>
        </c:ser>
        <c:dLbls>
          <c:dLblPos val="outEnd"/>
          <c:showLegendKey val="0"/>
          <c:showVal val="1"/>
          <c:showCatName val="0"/>
          <c:showSerName val="0"/>
          <c:showPercent val="0"/>
          <c:showBubbleSize val="0"/>
        </c:dLbls>
        <c:gapWidth val="62"/>
        <c:axId val="609050239"/>
        <c:axId val="609050719"/>
      </c:barChart>
      <c:catAx>
        <c:axId val="60905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09050719"/>
        <c:crosses val="autoZero"/>
        <c:auto val="1"/>
        <c:lblAlgn val="ctr"/>
        <c:lblOffset val="100"/>
        <c:noMultiLvlLbl val="0"/>
      </c:catAx>
      <c:valAx>
        <c:axId val="609050719"/>
        <c:scaling>
          <c:orientation val="minMax"/>
        </c:scaling>
        <c:delete val="1"/>
        <c:axPos val="b"/>
        <c:numFmt formatCode="General" sourceLinked="1"/>
        <c:majorTickMark val="none"/>
        <c:minorTickMark val="none"/>
        <c:tickLblPos val="nextTo"/>
        <c:crossAx val="60905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02 - HR Attrition Dashboard.xlsx]Department wise Attrition!Dept by Att</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E24C85"/>
          </a:solidFill>
          <a:ln w="19050">
            <a:solidFill>
              <a:schemeClr val="lt1"/>
            </a:solidFill>
          </a:ln>
          <a:effectLst/>
        </c:spPr>
        <c:dLbl>
          <c:idx val="0"/>
          <c:layout>
            <c:manualLayout>
              <c:x val="9.7442800118735073E-2"/>
              <c:y val="-7.7281355455568052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1373109611297"/>
                  <c:h val="0.25455528996375459"/>
                </c:manualLayout>
              </c15:layout>
            </c:ext>
          </c:extLst>
        </c:dLbl>
      </c:pivotFmt>
      <c:pivotFmt>
        <c:idx val="2"/>
        <c:spPr>
          <a:solidFill>
            <a:schemeClr val="accent5">
              <a:lumMod val="60000"/>
              <a:lumOff val="40000"/>
            </a:schemeClr>
          </a:solidFill>
          <a:ln w="19050">
            <a:solidFill>
              <a:schemeClr val="lt1"/>
            </a:solidFill>
          </a:ln>
          <a:effectLst/>
        </c:spPr>
        <c:dLbl>
          <c:idx val="0"/>
          <c:layout>
            <c:manualLayout>
              <c:x val="-9.2399230977613669E-2"/>
              <c:y val="0.2882059953732635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87363298337706"/>
                  <c:h val="0.23820459942507186"/>
                </c:manualLayout>
              </c15:layout>
            </c:ext>
          </c:extLst>
        </c:dLbl>
      </c:pivotFmt>
      <c:pivotFmt>
        <c:idx val="3"/>
        <c:spPr>
          <a:solidFill>
            <a:schemeClr val="accent6">
              <a:lumMod val="75000"/>
            </a:schemeClr>
          </a:solidFill>
          <a:ln w="19050">
            <a:solidFill>
              <a:schemeClr val="lt1"/>
            </a:solidFill>
          </a:ln>
          <a:effectLst/>
        </c:spPr>
        <c:dLbl>
          <c:idx val="0"/>
          <c:layout>
            <c:manualLayout>
              <c:x val="0.25291929347569753"/>
              <c:y val="8.1228742529868947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5623984501937265E-2"/>
                  <c:h val="0.21340301212348456"/>
                </c:manualLayout>
              </c15:layout>
            </c:ext>
          </c:extLst>
        </c:dLbl>
      </c:pivotFmt>
    </c:pivotFmts>
    <c:plotArea>
      <c:layout/>
      <c:pieChart>
        <c:varyColors val="1"/>
        <c:ser>
          <c:idx val="0"/>
          <c:order val="0"/>
          <c:tx>
            <c:strRef>
              <c:f>'Department wise Attrition'!$B$3</c:f>
              <c:strCache>
                <c:ptCount val="1"/>
                <c:pt idx="0">
                  <c:v>Total</c:v>
                </c:pt>
              </c:strCache>
            </c:strRef>
          </c:tx>
          <c:dPt>
            <c:idx val="0"/>
            <c:bubble3D val="0"/>
            <c:spPr>
              <a:solidFill>
                <a:srgbClr val="E24C85"/>
              </a:solidFill>
              <a:ln w="19050">
                <a:solidFill>
                  <a:schemeClr val="lt1"/>
                </a:solidFill>
              </a:ln>
              <a:effectLst/>
            </c:spPr>
            <c:extLst>
              <c:ext xmlns:c16="http://schemas.microsoft.com/office/drawing/2014/chart" uri="{C3380CC4-5D6E-409C-BE32-E72D297353CC}">
                <c16:uniqueId val="{00000002-E2F7-4846-BA53-E4263C1FBA47}"/>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E2F7-4846-BA53-E4263C1FBA4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E2F7-4846-BA53-E4263C1FBA47}"/>
              </c:ext>
            </c:extLst>
          </c:dPt>
          <c:dLbls>
            <c:dLbl>
              <c:idx val="0"/>
              <c:layout>
                <c:manualLayout>
                  <c:x val="9.7442800118735073E-2"/>
                  <c:y val="-7.728135545556805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671373109611297"/>
                      <c:h val="0.25455528996375459"/>
                    </c:manualLayout>
                  </c15:layout>
                </c:ext>
                <c:ext xmlns:c16="http://schemas.microsoft.com/office/drawing/2014/chart" uri="{C3380CC4-5D6E-409C-BE32-E72D297353CC}">
                  <c16:uniqueId val="{00000002-E2F7-4846-BA53-E4263C1FBA47}"/>
                </c:ext>
              </c:extLst>
            </c:dLbl>
            <c:dLbl>
              <c:idx val="1"/>
              <c:layout>
                <c:manualLayout>
                  <c:x val="-9.2399230977613669E-2"/>
                  <c:y val="0.2882059953732635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2187363298337706"/>
                      <c:h val="0.23820459942507186"/>
                    </c:manualLayout>
                  </c15:layout>
                </c:ext>
                <c:ext xmlns:c16="http://schemas.microsoft.com/office/drawing/2014/chart" uri="{C3380CC4-5D6E-409C-BE32-E72D297353CC}">
                  <c16:uniqueId val="{00000003-E2F7-4846-BA53-E4263C1FBA47}"/>
                </c:ext>
              </c:extLst>
            </c:dLbl>
            <c:dLbl>
              <c:idx val="2"/>
              <c:layout>
                <c:manualLayout>
                  <c:x val="0.25291929347569753"/>
                  <c:y val="8.122874252986894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5623984501937265E-2"/>
                      <c:h val="0.21340301212348456"/>
                    </c:manualLayout>
                  </c15:layout>
                </c:ext>
                <c:ext xmlns:c16="http://schemas.microsoft.com/office/drawing/2014/chart" uri="{C3380CC4-5D6E-409C-BE32-E72D297353CC}">
                  <c16:uniqueId val="{00000004-E2F7-4846-BA53-E4263C1FBA47}"/>
                </c:ext>
              </c:extLst>
            </c:dLbl>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 wise Attrition'!$A$4:$A$7</c:f>
              <c:strCache>
                <c:ptCount val="3"/>
                <c:pt idx="0">
                  <c:v>R&amp;D</c:v>
                </c:pt>
                <c:pt idx="1">
                  <c:v>Sales</c:v>
                </c:pt>
                <c:pt idx="2">
                  <c:v>HR</c:v>
                </c:pt>
              </c:strCache>
            </c:strRef>
          </c:cat>
          <c:val>
            <c:numRef>
              <c:f>'Department wise Attrition'!$B$4:$B$7</c:f>
              <c:numCache>
                <c:formatCode>0%</c:formatCode>
                <c:ptCount val="3"/>
                <c:pt idx="0">
                  <c:v>0.56118143459915615</c:v>
                </c:pt>
                <c:pt idx="1">
                  <c:v>0.3881856540084388</c:v>
                </c:pt>
                <c:pt idx="2">
                  <c:v>5.0632911392405063E-2</c:v>
                </c:pt>
              </c:numCache>
            </c:numRef>
          </c:val>
          <c:extLst>
            <c:ext xmlns:c16="http://schemas.microsoft.com/office/drawing/2014/chart" uri="{C3380CC4-5D6E-409C-BE32-E72D297353CC}">
              <c16:uniqueId val="{00000000-E2F7-4846-BA53-E4263C1FBA47}"/>
            </c:ext>
          </c:extLst>
        </c:ser>
        <c:dLbls>
          <c:dLblPos val="bestFit"/>
          <c:showLegendKey val="0"/>
          <c:showVal val="1"/>
          <c:showCatName val="0"/>
          <c:showSerName val="0"/>
          <c:showPercent val="0"/>
          <c:showBubbleSize val="0"/>
          <c:showLeaderLines val="0"/>
        </c:dLbls>
        <c:firstSliceAng val="1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02 - HR Attrition Dashboard.xlsx]Department by Age Group!Dept by Age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by Age Group'!$B$3</c:f>
              <c:strCache>
                <c:ptCount val="1"/>
                <c:pt idx="0">
                  <c:v>Total</c:v>
                </c:pt>
              </c:strCache>
            </c:strRef>
          </c:tx>
          <c:spPr>
            <a:solidFill>
              <a:schemeClr val="accent1"/>
            </a:solidFill>
            <a:ln>
              <a:noFill/>
            </a:ln>
            <a:effectLst/>
          </c:spPr>
          <c:invertIfNegative val="0"/>
          <c:cat>
            <c:strRef>
              <c:f>'Department by Age Group'!$A$4:$A$9</c:f>
              <c:strCache>
                <c:ptCount val="5"/>
                <c:pt idx="0">
                  <c:v>25 - 34</c:v>
                </c:pt>
                <c:pt idx="1">
                  <c:v>35 - 44</c:v>
                </c:pt>
                <c:pt idx="2">
                  <c:v>Under 25</c:v>
                </c:pt>
                <c:pt idx="3">
                  <c:v>45 - 54</c:v>
                </c:pt>
                <c:pt idx="4">
                  <c:v>Over 55</c:v>
                </c:pt>
              </c:strCache>
            </c:strRef>
          </c:cat>
          <c:val>
            <c:numRef>
              <c:f>'Department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19F-491F-98DC-161E559AF6D9}"/>
            </c:ext>
          </c:extLst>
        </c:ser>
        <c:dLbls>
          <c:showLegendKey val="0"/>
          <c:showVal val="0"/>
          <c:showCatName val="0"/>
          <c:showSerName val="0"/>
          <c:showPercent val="0"/>
          <c:showBubbleSize val="0"/>
        </c:dLbls>
        <c:gapWidth val="96"/>
        <c:overlap val="-27"/>
        <c:axId val="730106319"/>
        <c:axId val="730117359"/>
      </c:barChart>
      <c:catAx>
        <c:axId val="73010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30117359"/>
        <c:crosses val="autoZero"/>
        <c:auto val="1"/>
        <c:lblAlgn val="ctr"/>
        <c:lblOffset val="100"/>
        <c:noMultiLvlLbl val="0"/>
      </c:catAx>
      <c:valAx>
        <c:axId val="730117359"/>
        <c:scaling>
          <c:orientation val="minMax"/>
        </c:scaling>
        <c:delete val="1"/>
        <c:axPos val="l"/>
        <c:numFmt formatCode="General" sourceLinked="1"/>
        <c:majorTickMark val="none"/>
        <c:minorTickMark val="none"/>
        <c:tickLblPos val="nextTo"/>
        <c:crossAx val="73010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'Marital status by attrition'!$E$3</c:f>
              <c:strCache>
                <c:ptCount val="1"/>
                <c:pt idx="0">
                  <c:v>Attrition</c:v>
                </c:pt>
              </c:strCache>
            </c:strRef>
          </c:tx>
          <c:spPr>
            <a:solidFill>
              <a:schemeClr val="accent1"/>
            </a:solidFill>
            <a:ln>
              <a:noFill/>
            </a:ln>
            <a:effectLst/>
          </c:spPr>
          <c:invertIfNegative val="0"/>
          <c:cat>
            <c:strRef>
              <c:f>'Marital status by attrition'!$D$4:$D$6</c:f>
              <c:strCache>
                <c:ptCount val="3"/>
                <c:pt idx="0">
                  <c:v>Divorced</c:v>
                </c:pt>
                <c:pt idx="1">
                  <c:v>Married</c:v>
                </c:pt>
                <c:pt idx="2">
                  <c:v>Single</c:v>
                </c:pt>
              </c:strCache>
            </c:strRef>
          </c:cat>
          <c:val>
            <c:numRef>
              <c:f>'Marital status by attrition'!$E$4:$E$6</c:f>
              <c:numCache>
                <c:formatCode>General</c:formatCode>
                <c:ptCount val="3"/>
                <c:pt idx="0">
                  <c:v>33</c:v>
                </c:pt>
                <c:pt idx="1">
                  <c:v>84</c:v>
                </c:pt>
                <c:pt idx="2">
                  <c:v>120</c:v>
                </c:pt>
              </c:numCache>
            </c:numRef>
          </c:val>
          <c:extLst>
            <c:ext xmlns:c16="http://schemas.microsoft.com/office/drawing/2014/chart" uri="{C3380CC4-5D6E-409C-BE32-E72D297353CC}">
              <c16:uniqueId val="{00000000-4C32-4183-87CB-A2A7CC249464}"/>
            </c:ext>
          </c:extLst>
        </c:ser>
        <c:dLbls>
          <c:showLegendKey val="0"/>
          <c:showVal val="0"/>
          <c:showCatName val="0"/>
          <c:showSerName val="0"/>
          <c:showPercent val="0"/>
          <c:showBubbleSize val="0"/>
        </c:dLbls>
        <c:gapWidth val="16"/>
        <c:axId val="572085823"/>
        <c:axId val="572084383"/>
      </c:barChart>
      <c:catAx>
        <c:axId val="572085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72084383"/>
        <c:crosses val="autoZero"/>
        <c:auto val="1"/>
        <c:lblAlgn val="ctr"/>
        <c:lblOffset val="100"/>
        <c:noMultiLvlLbl val="0"/>
      </c:catAx>
      <c:valAx>
        <c:axId val="572084383"/>
        <c:scaling>
          <c:orientation val="minMax"/>
        </c:scaling>
        <c:delete val="1"/>
        <c:axPos val="b"/>
        <c:numFmt formatCode="General" sourceLinked="1"/>
        <c:majorTickMark val="out"/>
        <c:minorTickMark val="none"/>
        <c:tickLblPos val="nextTo"/>
        <c:crossAx val="5720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4">
                <a:lumMod val="75000"/>
              </a:schemeClr>
            </a:solidFill>
          </c:spPr>
          <c:dPt>
            <c:idx val="0"/>
            <c:bubble3D val="0"/>
            <c:spPr>
              <a:solidFill>
                <a:srgbClr val="253917"/>
              </a:solidFill>
              <a:ln w="19050">
                <a:noFill/>
              </a:ln>
              <a:effectLst/>
            </c:spPr>
            <c:extLst>
              <c:ext xmlns:c16="http://schemas.microsoft.com/office/drawing/2014/chart" uri="{C3380CC4-5D6E-409C-BE32-E72D297353CC}">
                <c16:uniqueId val="{00000001-C9AD-4BE4-BF16-85381B66382A}"/>
              </c:ext>
            </c:extLst>
          </c:dPt>
          <c:dPt>
            <c:idx val="1"/>
            <c:bubble3D val="0"/>
            <c:spPr>
              <a:solidFill>
                <a:srgbClr val="740000"/>
              </a:solidFill>
              <a:ln w="19050">
                <a:noFill/>
              </a:ln>
              <a:effectLst/>
            </c:spPr>
            <c:extLst>
              <c:ext xmlns:c16="http://schemas.microsoft.com/office/drawing/2014/chart" uri="{C3380CC4-5D6E-409C-BE32-E72D297353CC}">
                <c16:uniqueId val="{00000003-C9AD-4BE4-BF16-85381B66382A}"/>
              </c:ext>
            </c:extLst>
          </c:dPt>
          <c:dLbls>
            <c:dLbl>
              <c:idx val="0"/>
              <c:layout>
                <c:manualLayout>
                  <c:x val="8.333333333333333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AD-4BE4-BF16-85381B66382A}"/>
                </c:ext>
              </c:extLst>
            </c:dLbl>
            <c:dLbl>
              <c:idx val="1"/>
              <c:layout>
                <c:manualLayout>
                  <c:x val="5.5555555555555558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AD-4BE4-BF16-85381B66382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'total employee by gender'!$C$8:$C$9</c:f>
              <c:numCache>
                <c:formatCode>0%</c:formatCode>
                <c:ptCount val="2"/>
                <c:pt idx="0">
                  <c:v>0.4</c:v>
                </c:pt>
                <c:pt idx="1">
                  <c:v>0.6</c:v>
                </c:pt>
              </c:numCache>
            </c:numRef>
          </c:val>
          <c:extLst>
            <c:ext xmlns:c16="http://schemas.microsoft.com/office/drawing/2014/chart" uri="{C3380CC4-5D6E-409C-BE32-E72D297353CC}">
              <c16:uniqueId val="{00000004-C9AD-4BE4-BF16-85381B66382A}"/>
            </c:ext>
          </c:extLst>
        </c:ser>
        <c:dLbls>
          <c:showLegendKey val="0"/>
          <c:showVal val="1"/>
          <c:showCatName val="0"/>
          <c:showSerName val="0"/>
          <c:showPercent val="0"/>
          <c:showBubbleSize val="0"/>
          <c:showLeaderLines val="1"/>
        </c:dLbls>
        <c:firstSliceAng val="52"/>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02 - HR Attrition Dashboard.xlsx]Education wise Attrition!Edu w Attr</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6D3-49B1-B13C-7DCC12DE723D}"/>
            </c:ext>
          </c:extLst>
        </c:ser>
        <c:dLbls>
          <c:dLblPos val="outEnd"/>
          <c:showLegendKey val="0"/>
          <c:showVal val="1"/>
          <c:showCatName val="0"/>
          <c:showSerName val="0"/>
          <c:showPercent val="0"/>
          <c:showBubbleSize val="0"/>
        </c:dLbls>
        <c:gapWidth val="62"/>
        <c:axId val="609050239"/>
        <c:axId val="609050719"/>
      </c:barChart>
      <c:catAx>
        <c:axId val="60905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09050719"/>
        <c:crosses val="autoZero"/>
        <c:auto val="1"/>
        <c:lblAlgn val="ctr"/>
        <c:lblOffset val="100"/>
        <c:noMultiLvlLbl val="0"/>
      </c:catAx>
      <c:valAx>
        <c:axId val="609050719"/>
        <c:scaling>
          <c:orientation val="minMax"/>
        </c:scaling>
        <c:delete val="1"/>
        <c:axPos val="b"/>
        <c:numFmt formatCode="General" sourceLinked="1"/>
        <c:majorTickMark val="none"/>
        <c:minorTickMark val="none"/>
        <c:tickLblPos val="nextTo"/>
        <c:crossAx val="60905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02 - HR Attrition Dashboard.xlsx]Department wise Attrition!Dept by Att</c:name>
    <c:fmtId val="22"/>
  </c:pivotSource>
  <c:chart>
    <c:autoTitleDeleted val="1"/>
    <c:pivotFmts>
      <c:pivotFmt>
        <c:idx val="0"/>
        <c:spPr>
          <a:solidFill>
            <a:schemeClr val="accent1"/>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E24C85"/>
          </a:solidFill>
          <a:ln w="19050">
            <a:solidFill>
              <a:schemeClr val="lt1"/>
            </a:solidFill>
          </a:ln>
          <a:effectLst/>
        </c:spPr>
        <c:dLbl>
          <c:idx val="0"/>
          <c:layout>
            <c:manualLayout>
              <c:x val="9.7442800118735073E-2"/>
              <c:y val="-7.7281355455568052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1373109611297"/>
                  <c:h val="0.25455528996375459"/>
                </c:manualLayout>
              </c15:layout>
            </c:ext>
          </c:extLst>
        </c:dLbl>
      </c:pivotFmt>
      <c:pivotFmt>
        <c:idx val="2"/>
        <c:spPr>
          <a:solidFill>
            <a:schemeClr val="accent5">
              <a:lumMod val="60000"/>
              <a:lumOff val="40000"/>
            </a:schemeClr>
          </a:solidFill>
          <a:ln w="19050">
            <a:solidFill>
              <a:schemeClr val="lt1"/>
            </a:solidFill>
          </a:ln>
          <a:effectLst/>
        </c:spPr>
        <c:dLbl>
          <c:idx val="0"/>
          <c:layout>
            <c:manualLayout>
              <c:x val="-9.2399230977613669E-2"/>
              <c:y val="0.2882059953732635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87363298337706"/>
                  <c:h val="0.23820459942507186"/>
                </c:manualLayout>
              </c15:layout>
            </c:ext>
          </c:extLst>
        </c:dLbl>
      </c:pivotFmt>
      <c:pivotFmt>
        <c:idx val="3"/>
        <c:spPr>
          <a:solidFill>
            <a:schemeClr val="accent6">
              <a:lumMod val="75000"/>
            </a:schemeClr>
          </a:solidFill>
          <a:ln w="19050">
            <a:solidFill>
              <a:schemeClr val="lt1"/>
            </a:solidFill>
          </a:ln>
          <a:effectLst/>
        </c:spPr>
        <c:dLbl>
          <c:idx val="0"/>
          <c:layout>
            <c:manualLayout>
              <c:x val="0.25291929347569753"/>
              <c:y val="8.1228742529868947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5623984501937265E-2"/>
                  <c:h val="0.21340301212348456"/>
                </c:manualLayout>
              </c15:layout>
            </c:ext>
          </c:extLst>
        </c:dLbl>
      </c:pivotFmt>
      <c:pivotFmt>
        <c:idx val="4"/>
        <c:spPr>
          <a:solidFill>
            <a:schemeClr val="accent1"/>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E24C85"/>
          </a:solidFill>
          <a:ln w="19050">
            <a:solidFill>
              <a:schemeClr val="lt1"/>
            </a:solidFill>
          </a:ln>
          <a:effectLst/>
        </c:spPr>
        <c:dLbl>
          <c:idx val="0"/>
          <c:layout>
            <c:manualLayout>
              <c:x val="9.7442800118735073E-2"/>
              <c:y val="-7.7281355455568052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1373109611297"/>
                  <c:h val="0.25455528996375459"/>
                </c:manualLayout>
              </c15:layout>
            </c:ext>
          </c:extLst>
        </c:dLbl>
      </c:pivotFmt>
      <c:pivotFmt>
        <c:idx val="6"/>
        <c:spPr>
          <a:solidFill>
            <a:schemeClr val="accent5">
              <a:lumMod val="60000"/>
              <a:lumOff val="40000"/>
            </a:schemeClr>
          </a:solidFill>
          <a:ln w="19050">
            <a:solidFill>
              <a:schemeClr val="lt1"/>
            </a:solidFill>
          </a:ln>
          <a:effectLst/>
        </c:spPr>
        <c:dLbl>
          <c:idx val="0"/>
          <c:layout>
            <c:manualLayout>
              <c:x val="-9.2399230977613669E-2"/>
              <c:y val="0.2882059953732635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87363298337706"/>
                  <c:h val="0.23820459942507186"/>
                </c:manualLayout>
              </c15:layout>
            </c:ext>
          </c:extLst>
        </c:dLbl>
      </c:pivotFmt>
      <c:pivotFmt>
        <c:idx val="7"/>
        <c:spPr>
          <a:solidFill>
            <a:schemeClr val="accent6">
              <a:lumMod val="75000"/>
            </a:schemeClr>
          </a:solidFill>
          <a:ln w="19050">
            <a:solidFill>
              <a:schemeClr val="lt1"/>
            </a:solidFill>
          </a:ln>
          <a:effectLst/>
        </c:spPr>
        <c:dLbl>
          <c:idx val="0"/>
          <c:layout>
            <c:manualLayout>
              <c:x val="0.25291929347569753"/>
              <c:y val="8.1228742529868947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5623984501937265E-2"/>
                  <c:h val="0.21340301212348456"/>
                </c:manualLayout>
              </c15:layout>
            </c:ext>
          </c:extLst>
        </c:dLbl>
      </c:pivotFmt>
      <c:pivotFmt>
        <c:idx val="8"/>
        <c:spPr>
          <a:solidFill>
            <a:schemeClr val="accent1"/>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E24C85"/>
          </a:solidFill>
          <a:ln w="19050">
            <a:solidFill>
              <a:schemeClr val="lt1"/>
            </a:solidFill>
          </a:ln>
          <a:effectLst/>
        </c:spPr>
        <c:dLbl>
          <c:idx val="0"/>
          <c:layout>
            <c:manualLayout>
              <c:x val="9.7442800118735073E-2"/>
              <c:y val="-7.7281355455568052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1373109611297"/>
                  <c:h val="0.25455528996375459"/>
                </c:manualLayout>
              </c15:layout>
            </c:ext>
          </c:extLst>
        </c:dLbl>
      </c:pivotFmt>
      <c:pivotFmt>
        <c:idx val="10"/>
        <c:spPr>
          <a:solidFill>
            <a:schemeClr val="accent5">
              <a:lumMod val="60000"/>
              <a:lumOff val="40000"/>
            </a:schemeClr>
          </a:solidFill>
          <a:ln w="19050">
            <a:solidFill>
              <a:schemeClr val="lt1"/>
            </a:solidFill>
          </a:ln>
          <a:effectLst/>
        </c:spPr>
        <c:dLbl>
          <c:idx val="0"/>
          <c:layout>
            <c:manualLayout>
              <c:x val="-9.2399230977613669E-2"/>
              <c:y val="0.2882059953732635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87363298337706"/>
                  <c:h val="0.23820459942507186"/>
                </c:manualLayout>
              </c15:layout>
            </c:ext>
          </c:extLst>
        </c:dLbl>
      </c:pivotFmt>
      <c:pivotFmt>
        <c:idx val="11"/>
        <c:spPr>
          <a:solidFill>
            <a:schemeClr val="accent6">
              <a:lumMod val="75000"/>
            </a:schemeClr>
          </a:solidFill>
          <a:ln w="19050">
            <a:solidFill>
              <a:schemeClr val="lt1"/>
            </a:solidFill>
          </a:ln>
          <a:effectLst/>
        </c:spPr>
        <c:dLbl>
          <c:idx val="0"/>
          <c:layout>
            <c:manualLayout>
              <c:x val="0.25291929347569753"/>
              <c:y val="8.1228742529868947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5623984501937265E-2"/>
                  <c:h val="0.21340301212348456"/>
                </c:manualLayout>
              </c15:layout>
            </c:ext>
          </c:extLst>
        </c:dLbl>
      </c:pivotFmt>
      <c:pivotFmt>
        <c:idx val="12"/>
        <c:spPr>
          <a:solidFill>
            <a:schemeClr val="accent1"/>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E24C85"/>
          </a:solidFill>
          <a:ln w="19050">
            <a:solidFill>
              <a:schemeClr val="lt1"/>
            </a:solidFill>
          </a:ln>
          <a:effectLst/>
        </c:spPr>
        <c:dLbl>
          <c:idx val="0"/>
          <c:layout>
            <c:manualLayout>
              <c:x val="9.7442800118735073E-2"/>
              <c:y val="-7.7281355455568052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1373109611297"/>
                  <c:h val="0.25455528996375459"/>
                </c:manualLayout>
              </c15:layout>
            </c:ext>
          </c:extLst>
        </c:dLbl>
      </c:pivotFmt>
      <c:pivotFmt>
        <c:idx val="14"/>
        <c:spPr>
          <a:solidFill>
            <a:schemeClr val="accent5">
              <a:lumMod val="60000"/>
              <a:lumOff val="40000"/>
            </a:schemeClr>
          </a:solidFill>
          <a:ln w="19050">
            <a:solidFill>
              <a:schemeClr val="lt1"/>
            </a:solidFill>
          </a:ln>
          <a:effectLst/>
        </c:spPr>
        <c:dLbl>
          <c:idx val="0"/>
          <c:layout>
            <c:manualLayout>
              <c:x val="-9.2399230977613669E-2"/>
              <c:y val="0.2882059953732635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2187363298337706"/>
                  <c:h val="0.23820459942507186"/>
                </c:manualLayout>
              </c15:layout>
            </c:ext>
          </c:extLst>
        </c:dLbl>
      </c:pivotFmt>
      <c:pivotFmt>
        <c:idx val="15"/>
        <c:spPr>
          <a:solidFill>
            <a:schemeClr val="accent6">
              <a:lumMod val="75000"/>
            </a:schemeClr>
          </a:solidFill>
          <a:ln w="19050">
            <a:solidFill>
              <a:schemeClr val="lt1"/>
            </a:solidFill>
          </a:ln>
          <a:effectLst/>
        </c:spPr>
        <c:dLbl>
          <c:idx val="0"/>
          <c:layout>
            <c:manualLayout>
              <c:x val="0.25291929347569753"/>
              <c:y val="8.1228742529868947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5623984501937265E-2"/>
                  <c:h val="0.21340301212348456"/>
                </c:manualLayout>
              </c15:layout>
            </c:ext>
          </c:extLst>
        </c:dLbl>
      </c:pivotFmt>
      <c:pivotFmt>
        <c:idx val="16"/>
        <c:spPr>
          <a:solidFill>
            <a:schemeClr val="accent1"/>
          </a:solidFill>
          <a:ln w="19050">
            <a:solidFill>
              <a:schemeClr val="lt1"/>
            </a:solidFill>
          </a:ln>
          <a:effectLst/>
        </c:spPr>
        <c:marker>
          <c:symbol val="none"/>
        </c:marker>
        <c:dLbl>
          <c:idx val="0"/>
          <c:spPr>
            <a:gradFill flip="none" rotWithShape="1">
              <a:gsLst>
                <a:gs pos="0">
                  <a:srgbClr val="70AD47">
                    <a:lumMod val="5000"/>
                    <a:lumOff val="95000"/>
                  </a:srgbClr>
                </a:gs>
                <a:gs pos="74000">
                  <a:srgbClr val="70AD47">
                    <a:lumMod val="45000"/>
                    <a:lumOff val="55000"/>
                  </a:srgbClr>
                </a:gs>
                <a:gs pos="83000">
                  <a:srgbClr val="70AD47">
                    <a:lumMod val="45000"/>
                    <a:lumOff val="55000"/>
                  </a:srgbClr>
                </a:gs>
                <a:gs pos="100000">
                  <a:srgbClr val="70AD47">
                    <a:lumMod val="30000"/>
                    <a:lumOff val="70000"/>
                  </a:srgbClr>
                </a:gs>
              </a:gsLst>
              <a:lin ang="5400000" scaled="1"/>
              <a:tileRect/>
            </a:gradFill>
            <a:ln w="12700">
              <a:solidFill>
                <a:sysClr val="windowText" lastClr="000000"/>
              </a:solidFill>
              <a:prstDash val="dash"/>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E24C85"/>
          </a:solidFill>
          <a:ln w="19050">
            <a:solidFill>
              <a:schemeClr val="lt1"/>
            </a:solidFill>
          </a:ln>
          <a:effectLst/>
        </c:spPr>
        <c:dLbl>
          <c:idx val="0"/>
          <c:layout>
            <c:manualLayout>
              <c:x val="0.11151947506750774"/>
              <c:y val="-2.2924897949461624E-2"/>
            </c:manualLayout>
          </c:layout>
          <c:spPr>
            <a:gradFill flip="none" rotWithShape="1">
              <a:gsLst>
                <a:gs pos="0">
                  <a:srgbClr val="70AD47">
                    <a:lumMod val="5000"/>
                    <a:lumOff val="95000"/>
                  </a:srgbClr>
                </a:gs>
                <a:gs pos="74000">
                  <a:srgbClr val="70AD47">
                    <a:lumMod val="45000"/>
                    <a:lumOff val="55000"/>
                  </a:srgbClr>
                </a:gs>
                <a:gs pos="83000">
                  <a:srgbClr val="70AD47">
                    <a:lumMod val="45000"/>
                    <a:lumOff val="55000"/>
                  </a:srgbClr>
                </a:gs>
                <a:gs pos="100000">
                  <a:srgbClr val="70AD47">
                    <a:lumMod val="30000"/>
                    <a:lumOff val="70000"/>
                  </a:srgbClr>
                </a:gs>
              </a:gsLst>
              <a:lin ang="5400000" scaled="1"/>
              <a:tileRect/>
            </a:gradFill>
            <a:ln w="12700">
              <a:solidFill>
                <a:sysClr val="windowText" lastClr="000000"/>
              </a:solidFill>
              <a:prstDash val="dash"/>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1379624228803"/>
                  <c:h val="0.21201576237930347"/>
                </c:manualLayout>
              </c15:layout>
            </c:ext>
          </c:extLst>
        </c:dLbl>
      </c:pivotFmt>
      <c:pivotFmt>
        <c:idx val="18"/>
        <c:spPr>
          <a:solidFill>
            <a:schemeClr val="accent5">
              <a:lumMod val="60000"/>
              <a:lumOff val="40000"/>
            </a:schemeClr>
          </a:solidFill>
          <a:ln w="19050">
            <a:solidFill>
              <a:schemeClr val="lt1"/>
            </a:solidFill>
          </a:ln>
          <a:effectLst/>
        </c:spPr>
        <c:dLbl>
          <c:idx val="0"/>
          <c:layout>
            <c:manualLayout>
              <c:x val="-6.9524883509641977E-2"/>
              <c:y val="0.25275052487382943"/>
            </c:manualLayout>
          </c:layout>
          <c:spPr>
            <a:gradFill flip="none" rotWithShape="1">
              <a:gsLst>
                <a:gs pos="0">
                  <a:srgbClr val="70AD47">
                    <a:lumMod val="5000"/>
                    <a:lumOff val="95000"/>
                  </a:srgbClr>
                </a:gs>
                <a:gs pos="74000">
                  <a:srgbClr val="70AD47">
                    <a:lumMod val="45000"/>
                    <a:lumOff val="55000"/>
                  </a:srgbClr>
                </a:gs>
                <a:gs pos="83000">
                  <a:srgbClr val="70AD47">
                    <a:lumMod val="45000"/>
                    <a:lumOff val="55000"/>
                  </a:srgbClr>
                </a:gs>
                <a:gs pos="100000">
                  <a:srgbClr val="70AD47">
                    <a:lumMod val="30000"/>
                    <a:lumOff val="70000"/>
                  </a:srgbClr>
                </a:gs>
              </a:gsLst>
              <a:lin ang="5400000" scaled="1"/>
              <a:tileRect/>
            </a:gradFill>
            <a:ln w="12700">
              <a:solidFill>
                <a:sysClr val="windowText" lastClr="000000"/>
              </a:solidFill>
              <a:prstDash val="dash"/>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762232791932044"/>
                  <c:h val="0.16729365842620353"/>
                </c:manualLayout>
              </c15:layout>
            </c:ext>
          </c:extLst>
        </c:dLbl>
      </c:pivotFmt>
      <c:pivotFmt>
        <c:idx val="19"/>
        <c:spPr>
          <a:solidFill>
            <a:schemeClr val="accent6">
              <a:lumMod val="75000"/>
            </a:schemeClr>
          </a:solidFill>
          <a:ln w="19050">
            <a:solidFill>
              <a:schemeClr val="lt1"/>
            </a:solidFill>
          </a:ln>
          <a:effectLst/>
        </c:spPr>
        <c:dLbl>
          <c:idx val="0"/>
          <c:layout>
            <c:manualLayout>
              <c:x val="0.25291929347569753"/>
              <c:y val="8.1228742529868947E-2"/>
            </c:manualLayout>
          </c:layout>
          <c:spPr>
            <a:gradFill flip="none" rotWithShape="1">
              <a:gsLst>
                <a:gs pos="0">
                  <a:srgbClr val="70AD47">
                    <a:lumMod val="5000"/>
                    <a:lumOff val="95000"/>
                  </a:srgbClr>
                </a:gs>
                <a:gs pos="74000">
                  <a:srgbClr val="70AD47">
                    <a:lumMod val="45000"/>
                    <a:lumOff val="55000"/>
                  </a:srgbClr>
                </a:gs>
                <a:gs pos="83000">
                  <a:srgbClr val="70AD47">
                    <a:lumMod val="45000"/>
                    <a:lumOff val="55000"/>
                  </a:srgbClr>
                </a:gs>
                <a:gs pos="100000">
                  <a:srgbClr val="70AD47">
                    <a:lumMod val="30000"/>
                    <a:lumOff val="70000"/>
                  </a:srgbClr>
                </a:gs>
              </a:gsLst>
              <a:lin ang="5400000" scaled="1"/>
              <a:tileRect/>
            </a:gradFill>
            <a:ln w="12700">
              <a:solidFill>
                <a:sysClr val="windowText" lastClr="000000"/>
              </a:solidFill>
              <a:prstDash val="dash"/>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5623984501937265E-2"/>
                  <c:h val="0.21340301212348456"/>
                </c:manualLayout>
              </c15:layout>
            </c:ext>
          </c:extLst>
        </c:dLbl>
      </c:pivotFmt>
    </c:pivotFmts>
    <c:plotArea>
      <c:layout/>
      <c:pieChart>
        <c:varyColors val="1"/>
        <c:ser>
          <c:idx val="0"/>
          <c:order val="0"/>
          <c:tx>
            <c:strRef>
              <c:f>'Department wise Attrition'!$B$3</c:f>
              <c:strCache>
                <c:ptCount val="1"/>
                <c:pt idx="0">
                  <c:v>Total</c:v>
                </c:pt>
              </c:strCache>
            </c:strRef>
          </c:tx>
          <c:dPt>
            <c:idx val="0"/>
            <c:bubble3D val="0"/>
            <c:spPr>
              <a:solidFill>
                <a:srgbClr val="E24C85"/>
              </a:solidFill>
              <a:ln w="19050">
                <a:solidFill>
                  <a:schemeClr val="lt1"/>
                </a:solidFill>
              </a:ln>
              <a:effectLst/>
            </c:spPr>
            <c:extLst>
              <c:ext xmlns:c16="http://schemas.microsoft.com/office/drawing/2014/chart" uri="{C3380CC4-5D6E-409C-BE32-E72D297353CC}">
                <c16:uniqueId val="{00000001-B459-4B04-917C-E58641DAA0BB}"/>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B459-4B04-917C-E58641DAA0BB}"/>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459-4B04-917C-E58641DAA0BB}"/>
              </c:ext>
            </c:extLst>
          </c:dPt>
          <c:dLbls>
            <c:dLbl>
              <c:idx val="0"/>
              <c:layout>
                <c:manualLayout>
                  <c:x val="0.11151947506750774"/>
                  <c:y val="-2.292489794946162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1671379624228803"/>
                      <c:h val="0.21201576237930347"/>
                    </c:manualLayout>
                  </c15:layout>
                </c:ext>
                <c:ext xmlns:c16="http://schemas.microsoft.com/office/drawing/2014/chart" uri="{C3380CC4-5D6E-409C-BE32-E72D297353CC}">
                  <c16:uniqueId val="{00000001-B459-4B04-917C-E58641DAA0BB}"/>
                </c:ext>
              </c:extLst>
            </c:dLbl>
            <c:dLbl>
              <c:idx val="1"/>
              <c:layout>
                <c:manualLayout>
                  <c:x val="-6.9524883509641977E-2"/>
                  <c:y val="0.2527505248738294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762232791932044"/>
                      <c:h val="0.16729365842620353"/>
                    </c:manualLayout>
                  </c15:layout>
                </c:ext>
                <c:ext xmlns:c16="http://schemas.microsoft.com/office/drawing/2014/chart" uri="{C3380CC4-5D6E-409C-BE32-E72D297353CC}">
                  <c16:uniqueId val="{00000003-B459-4B04-917C-E58641DAA0BB}"/>
                </c:ext>
              </c:extLst>
            </c:dLbl>
            <c:dLbl>
              <c:idx val="2"/>
              <c:layout>
                <c:manualLayout>
                  <c:x val="0.25291929347569753"/>
                  <c:y val="8.122874252986894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5623984501937265E-2"/>
                      <c:h val="0.21340301212348456"/>
                    </c:manualLayout>
                  </c15:layout>
                </c:ext>
                <c:ext xmlns:c16="http://schemas.microsoft.com/office/drawing/2014/chart" uri="{C3380CC4-5D6E-409C-BE32-E72D297353CC}">
                  <c16:uniqueId val="{00000005-B459-4B04-917C-E58641DAA0BB}"/>
                </c:ext>
              </c:extLst>
            </c:dLbl>
            <c:spPr>
              <a:gradFill flip="none" rotWithShape="1">
                <a:gsLst>
                  <a:gs pos="0">
                    <a:srgbClr val="70AD47">
                      <a:lumMod val="5000"/>
                      <a:lumOff val="95000"/>
                    </a:srgbClr>
                  </a:gs>
                  <a:gs pos="74000">
                    <a:srgbClr val="70AD47">
                      <a:lumMod val="45000"/>
                      <a:lumOff val="55000"/>
                    </a:srgbClr>
                  </a:gs>
                  <a:gs pos="83000">
                    <a:srgbClr val="70AD47">
                      <a:lumMod val="45000"/>
                      <a:lumOff val="55000"/>
                    </a:srgbClr>
                  </a:gs>
                  <a:gs pos="100000">
                    <a:srgbClr val="70AD47">
                      <a:lumMod val="30000"/>
                      <a:lumOff val="70000"/>
                    </a:srgbClr>
                  </a:gs>
                </a:gsLst>
                <a:lin ang="5400000" scaled="1"/>
                <a:tileRect/>
              </a:gradFill>
              <a:ln w="12700">
                <a:solidFill>
                  <a:sysClr val="windowText" lastClr="000000"/>
                </a:solidFill>
                <a:prstDash val="dash"/>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 wise Attrition'!$A$4:$A$7</c:f>
              <c:strCache>
                <c:ptCount val="3"/>
                <c:pt idx="0">
                  <c:v>R&amp;D</c:v>
                </c:pt>
                <c:pt idx="1">
                  <c:v>Sales</c:v>
                </c:pt>
                <c:pt idx="2">
                  <c:v>HR</c:v>
                </c:pt>
              </c:strCache>
            </c:strRef>
          </c:cat>
          <c:val>
            <c:numRef>
              <c:f>'Department wise Attrition'!$B$4:$B$7</c:f>
              <c:numCache>
                <c:formatCode>0%</c:formatCode>
                <c:ptCount val="3"/>
                <c:pt idx="0">
                  <c:v>0.56118143459915615</c:v>
                </c:pt>
                <c:pt idx="1">
                  <c:v>0.3881856540084388</c:v>
                </c:pt>
                <c:pt idx="2">
                  <c:v>5.0632911392405063E-2</c:v>
                </c:pt>
              </c:numCache>
            </c:numRef>
          </c:val>
          <c:extLst>
            <c:ext xmlns:c16="http://schemas.microsoft.com/office/drawing/2014/chart" uri="{C3380CC4-5D6E-409C-BE32-E72D297353CC}">
              <c16:uniqueId val="{00000006-B459-4B04-917C-E58641DAA0BB}"/>
            </c:ext>
          </c:extLst>
        </c:ser>
        <c:dLbls>
          <c:dLblPos val="bestFit"/>
          <c:showLegendKey val="0"/>
          <c:showVal val="1"/>
          <c:showCatName val="0"/>
          <c:showSerName val="0"/>
          <c:showPercent val="0"/>
          <c:showBubbleSize val="0"/>
          <c:showLeaderLines val="0"/>
        </c:dLbls>
        <c:firstSliceAng val="1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02 - HR Attrition Dashboard.xlsx]Department by Age Group!Dept by Age</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by Age Group'!$B$3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cat>
            <c:strRef>
              <c:f>'Department by Age Group'!$A$4:$A$9</c:f>
              <c:strCache>
                <c:ptCount val="5"/>
                <c:pt idx="0">
                  <c:v>25 - 34</c:v>
                </c:pt>
                <c:pt idx="1">
                  <c:v>35 - 44</c:v>
                </c:pt>
                <c:pt idx="2">
                  <c:v>Under 25</c:v>
                </c:pt>
                <c:pt idx="3">
                  <c:v>45 - 54</c:v>
                </c:pt>
                <c:pt idx="4">
                  <c:v>Over 55</c:v>
                </c:pt>
              </c:strCache>
            </c:strRef>
          </c:cat>
          <c:val>
            <c:numRef>
              <c:f>'Department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917-4271-A33A-F66723D782FB}"/>
            </c:ext>
          </c:extLst>
        </c:ser>
        <c:dLbls>
          <c:showLegendKey val="0"/>
          <c:showVal val="0"/>
          <c:showCatName val="0"/>
          <c:showSerName val="0"/>
          <c:showPercent val="0"/>
          <c:showBubbleSize val="0"/>
        </c:dLbls>
        <c:gapWidth val="96"/>
        <c:overlap val="-27"/>
        <c:axId val="730106319"/>
        <c:axId val="730117359"/>
      </c:barChart>
      <c:catAx>
        <c:axId val="73010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30117359"/>
        <c:crosses val="autoZero"/>
        <c:auto val="1"/>
        <c:lblAlgn val="ctr"/>
        <c:lblOffset val="100"/>
        <c:noMultiLvlLbl val="0"/>
      </c:catAx>
      <c:valAx>
        <c:axId val="730117359"/>
        <c:scaling>
          <c:orientation val="minMax"/>
        </c:scaling>
        <c:delete val="1"/>
        <c:axPos val="l"/>
        <c:numFmt formatCode="General" sourceLinked="1"/>
        <c:majorTickMark val="none"/>
        <c:minorTickMark val="none"/>
        <c:tickLblPos val="nextTo"/>
        <c:crossAx val="73010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'Marital status by attrition'!$E$3</c:f>
              <c:strCache>
                <c:ptCount val="1"/>
                <c:pt idx="0">
                  <c:v>Attrition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 by attrition'!$D$4:$D$6</c:f>
              <c:strCache>
                <c:ptCount val="3"/>
                <c:pt idx="0">
                  <c:v>Divorced</c:v>
                </c:pt>
                <c:pt idx="1">
                  <c:v>Married</c:v>
                </c:pt>
                <c:pt idx="2">
                  <c:v>Single</c:v>
                </c:pt>
              </c:strCache>
            </c:strRef>
          </c:cat>
          <c:val>
            <c:numRef>
              <c:f>'Marital status by attrition'!$E$4:$E$6</c:f>
              <c:numCache>
                <c:formatCode>General</c:formatCode>
                <c:ptCount val="3"/>
                <c:pt idx="0">
                  <c:v>33</c:v>
                </c:pt>
                <c:pt idx="1">
                  <c:v>84</c:v>
                </c:pt>
                <c:pt idx="2">
                  <c:v>120</c:v>
                </c:pt>
              </c:numCache>
            </c:numRef>
          </c:val>
          <c:extLst>
            <c:ext xmlns:c16="http://schemas.microsoft.com/office/drawing/2014/chart" uri="{C3380CC4-5D6E-409C-BE32-E72D297353CC}">
              <c16:uniqueId val="{00000000-BC6E-43B9-AFFE-CC71337F0C42}"/>
            </c:ext>
          </c:extLst>
        </c:ser>
        <c:dLbls>
          <c:showLegendKey val="0"/>
          <c:showVal val="0"/>
          <c:showCatName val="0"/>
          <c:showSerName val="0"/>
          <c:showPercent val="0"/>
          <c:showBubbleSize val="0"/>
        </c:dLbls>
        <c:gapWidth val="16"/>
        <c:axId val="572085823"/>
        <c:axId val="572084383"/>
      </c:barChart>
      <c:catAx>
        <c:axId val="572085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72084383"/>
        <c:crosses val="autoZero"/>
        <c:auto val="1"/>
        <c:lblAlgn val="ctr"/>
        <c:lblOffset val="100"/>
        <c:noMultiLvlLbl val="0"/>
      </c:catAx>
      <c:valAx>
        <c:axId val="572084383"/>
        <c:scaling>
          <c:orientation val="minMax"/>
        </c:scaling>
        <c:delete val="1"/>
        <c:axPos val="b"/>
        <c:numFmt formatCode="General" sourceLinked="1"/>
        <c:majorTickMark val="out"/>
        <c:minorTickMark val="none"/>
        <c:tickLblPos val="nextTo"/>
        <c:crossAx val="5720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DE6BFE5-58BE-4B00-9EFD-1963359CBE4D}">
          <cx:dataLabels>
            <cx:txPr>
              <a:bodyPr spcFirstLastPara="1" vertOverflow="ellipsis" horzOverflow="overflow" wrap="square" lIns="0" tIns="0" rIns="0" bIns="0" anchor="ctr" anchorCtr="1"/>
              <a:lstStyle/>
              <a:p>
                <a:pPr algn="ctr" rtl="0">
                  <a:defRPr sz="900" b="1">
                    <a:solidFill>
                      <a:sysClr val="windowText" lastClr="000000"/>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solidFill>
                  <a:latin typeface="Arial Black" panose="020B0A04020102020204" pitchFamily="34" charset="0"/>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9DE6BFE5-58BE-4B00-9EFD-1963359CBE4D}">
          <cx:spPr>
            <a:ln>
              <a:noFill/>
            </a:ln>
          </cx:spPr>
          <cx:dataLabels>
            <cx:txPr>
              <a:bodyPr spcFirstLastPara="1" vertOverflow="ellipsis" horzOverflow="overflow" wrap="square" lIns="0" tIns="0" rIns="0" bIns="0" anchor="ctr" anchorCtr="1"/>
              <a:lstStyle/>
              <a:p>
                <a:pPr algn="ctr" rtl="0">
                  <a:defRPr sz="900" b="1">
                    <a:solidFill>
                      <a:sysClr val="windowText" lastClr="000000"/>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solidFill>
                  <a:latin typeface="Arial Black" panose="020B0A04020102020204" pitchFamily="34"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chart" Target="../charts/chart6.xml"/><Relationship Id="rId12" Type="http://schemas.openxmlformats.org/officeDocument/2006/relationships/image" Target="../media/image8.png"/><Relationship Id="rId17" Type="http://schemas.openxmlformats.org/officeDocument/2006/relationships/chart" Target="../charts/chart10.xml"/><Relationship Id="rId2" Type="http://schemas.openxmlformats.org/officeDocument/2006/relationships/image" Target="../media/image3.svg"/><Relationship Id="rId16"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9.xml"/><Relationship Id="rId5" Type="http://schemas.openxmlformats.org/officeDocument/2006/relationships/image" Target="../media/image6.png"/><Relationship Id="rId15" Type="http://schemas.openxmlformats.org/officeDocument/2006/relationships/image" Target="../media/image11.png"/><Relationship Id="rId10" Type="http://schemas.openxmlformats.org/officeDocument/2006/relationships/chart" Target="../charts/chart8.xml"/><Relationship Id="rId4" Type="http://schemas.openxmlformats.org/officeDocument/2006/relationships/image" Target="../media/image5.svg"/><Relationship Id="rId9" Type="http://schemas.microsoft.com/office/2014/relationships/chartEx" Target="../charts/chartEx2.xml"/><Relationship Id="rId14" Type="http://schemas.openxmlformats.org/officeDocument/2006/relationships/image" Target="../media/image10.png"/></Relationships>
</file>

<file path=xl/drawings/_rels/drawing9.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5.png"/><Relationship Id="rId7" Type="http://schemas.openxmlformats.org/officeDocument/2006/relationships/image" Target="../media/image3.sv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2.png"/><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1</xdr:col>
      <xdr:colOff>518160</xdr:colOff>
      <xdr:row>14</xdr:row>
      <xdr:rowOff>167640</xdr:rowOff>
    </xdr:from>
    <xdr:to>
      <xdr:col>3</xdr:col>
      <xdr:colOff>53340</xdr:colOff>
      <xdr:row>28</xdr:row>
      <xdr:rowOff>89535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8A4B63B-6CEB-82C8-E87E-9B4D1AB82F1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55420" y="29413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15</xdr:row>
      <xdr:rowOff>38100</xdr:rowOff>
    </xdr:from>
    <xdr:to>
      <xdr:col>7</xdr:col>
      <xdr:colOff>495300</xdr:colOff>
      <xdr:row>28</xdr:row>
      <xdr:rowOff>158115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8737D10-77AA-5F27-0E06-FFA57BD11A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79620" y="30099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499110</xdr:colOff>
      <xdr:row>3</xdr:row>
      <xdr:rowOff>49530</xdr:rowOff>
    </xdr:from>
    <xdr:to>
      <xdr:col>15</xdr:col>
      <xdr:colOff>377190</xdr:colOff>
      <xdr:row>17</xdr:row>
      <xdr:rowOff>19050</xdr:rowOff>
    </xdr:to>
    <xdr:graphicFrame macro="">
      <xdr:nvGraphicFramePr>
        <xdr:cNvPr id="4" name="Chart 3">
          <a:extLst>
            <a:ext uri="{FF2B5EF4-FFF2-40B4-BE49-F238E27FC236}">
              <a16:creationId xmlns:a16="http://schemas.microsoft.com/office/drawing/2014/main" id="{26CA4AF8-9498-B741-FDE0-D4F6D4D6D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1710690</xdr:colOff>
      <xdr:row>5</xdr:row>
      <xdr:rowOff>34290</xdr:rowOff>
    </xdr:from>
    <xdr:to>
      <xdr:col>8</xdr:col>
      <xdr:colOff>392430</xdr:colOff>
      <xdr:row>19</xdr:row>
      <xdr:rowOff>3810</xdr:rowOff>
    </xdr:to>
    <xdr:graphicFrame macro="">
      <xdr:nvGraphicFramePr>
        <xdr:cNvPr id="2" name="Chart 1">
          <a:extLst>
            <a:ext uri="{FF2B5EF4-FFF2-40B4-BE49-F238E27FC236}">
              <a16:creationId xmlns:a16="http://schemas.microsoft.com/office/drawing/2014/main" id="{EFF198B1-58DF-43B3-FF39-3C90986F5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636270</xdr:colOff>
      <xdr:row>10</xdr:row>
      <xdr:rowOff>156210</xdr:rowOff>
    </xdr:from>
    <xdr:to>
      <xdr:col>7</xdr:col>
      <xdr:colOff>567690</xdr:colOff>
      <xdr:row>24</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A19C2-E753-169A-5B7E-F3DD9D9FCF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78630" y="213741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842011</xdr:colOff>
      <xdr:row>8</xdr:row>
      <xdr:rowOff>190501</xdr:rowOff>
    </xdr:from>
    <xdr:to>
      <xdr:col>7</xdr:col>
      <xdr:colOff>514351</xdr:colOff>
      <xdr:row>21</xdr:row>
      <xdr:rowOff>175261</xdr:rowOff>
    </xdr:to>
    <xdr:graphicFrame macro="">
      <xdr:nvGraphicFramePr>
        <xdr:cNvPr id="3" name="Chart 2">
          <a:extLst>
            <a:ext uri="{FF2B5EF4-FFF2-40B4-BE49-F238E27FC236}">
              <a16:creationId xmlns:a16="http://schemas.microsoft.com/office/drawing/2014/main" id="{156E1198-6B57-774A-FD9D-AE79644C0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3</xdr:col>
      <xdr:colOff>636270</xdr:colOff>
      <xdr:row>5</xdr:row>
      <xdr:rowOff>57150</xdr:rowOff>
    </xdr:from>
    <xdr:to>
      <xdr:col>10</xdr:col>
      <xdr:colOff>514350</xdr:colOff>
      <xdr:row>19</xdr:row>
      <xdr:rowOff>26670</xdr:rowOff>
    </xdr:to>
    <xdr:graphicFrame macro="">
      <xdr:nvGraphicFramePr>
        <xdr:cNvPr id="2" name="Chart 1">
          <a:extLst>
            <a:ext uri="{FF2B5EF4-FFF2-40B4-BE49-F238E27FC236}">
              <a16:creationId xmlns:a16="http://schemas.microsoft.com/office/drawing/2014/main" id="{C97C3437-54B0-D2A7-4173-6540856E1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567690</xdr:colOff>
      <xdr:row>6</xdr:row>
      <xdr:rowOff>102870</xdr:rowOff>
    </xdr:from>
    <xdr:to>
      <xdr:col>10</xdr:col>
      <xdr:colOff>110490</xdr:colOff>
      <xdr:row>20</xdr:row>
      <xdr:rowOff>72390</xdr:rowOff>
    </xdr:to>
    <xdr:graphicFrame macro="">
      <xdr:nvGraphicFramePr>
        <xdr:cNvPr id="2" name="Chart 1">
          <a:extLst>
            <a:ext uri="{FF2B5EF4-FFF2-40B4-BE49-F238E27FC236}">
              <a16:creationId xmlns:a16="http://schemas.microsoft.com/office/drawing/2014/main" id="{D1D893E5-22FE-0988-BD92-588E9D037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533400</xdr:colOff>
      <xdr:row>2</xdr:row>
      <xdr:rowOff>175260</xdr:rowOff>
    </xdr:from>
    <xdr:to>
      <xdr:col>12</xdr:col>
      <xdr:colOff>350520</xdr:colOff>
      <xdr:row>16</xdr:row>
      <xdr:rowOff>97155</xdr:rowOff>
    </xdr:to>
    <mc:AlternateContent xmlns:mc="http://schemas.openxmlformats.org/markup-compatibility/2006">
      <mc:Choice xmlns:a14="http://schemas.microsoft.com/office/drawing/2010/main" Requires="a14">
        <xdr:graphicFrame macro="">
          <xdr:nvGraphicFramePr>
            <xdr:cNvPr id="3" name="Department 1">
              <a:extLst>
                <a:ext uri="{FF2B5EF4-FFF2-40B4-BE49-F238E27FC236}">
                  <a16:creationId xmlns:a16="http://schemas.microsoft.com/office/drawing/2014/main" id="{6D7B2E9C-6772-B796-A73D-677DF421E67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719060" y="5715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586740</xdr:colOff>
      <xdr:row>16</xdr:row>
      <xdr:rowOff>160020</xdr:rowOff>
    </xdr:from>
    <xdr:to>
      <xdr:col>9</xdr:col>
      <xdr:colOff>403860</xdr:colOff>
      <xdr:row>30</xdr:row>
      <xdr:rowOff>81915</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7B847B34-8BF5-078B-24E1-736196ACBAB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5760720" y="33299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210457</xdr:colOff>
      <xdr:row>0</xdr:row>
      <xdr:rowOff>7257</xdr:rowOff>
    </xdr:from>
    <xdr:to>
      <xdr:col>12</xdr:col>
      <xdr:colOff>390381</xdr:colOff>
      <xdr:row>25</xdr:row>
      <xdr:rowOff>1191</xdr:rowOff>
    </xdr:to>
    <xdr:pic>
      <xdr:nvPicPr>
        <xdr:cNvPr id="2" name="Picture 1">
          <a:extLst>
            <a:ext uri="{FF2B5EF4-FFF2-40B4-BE49-F238E27FC236}">
              <a16:creationId xmlns:a16="http://schemas.microsoft.com/office/drawing/2014/main" id="{34194DE1-ED7F-92CB-EDC4-AB962626A6A0}"/>
            </a:ext>
          </a:extLst>
        </xdr:cNvPr>
        <xdr:cNvPicPr>
          <a:picLocks noChangeAspect="1"/>
        </xdr:cNvPicPr>
      </xdr:nvPicPr>
      <xdr:blipFill>
        <a:blip xmlns:r="http://schemas.openxmlformats.org/officeDocument/2006/relationships" r:embed="rId1"/>
        <a:stretch>
          <a:fillRect/>
        </a:stretch>
      </xdr:blipFill>
      <xdr:spPr>
        <a:xfrm>
          <a:off x="210457" y="7257"/>
          <a:ext cx="8191810" cy="48925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439178</xdr:colOff>
      <xdr:row>1</xdr:row>
      <xdr:rowOff>176554</xdr:rowOff>
    </xdr:from>
    <xdr:to>
      <xdr:col>20</xdr:col>
      <xdr:colOff>482600</xdr:colOff>
      <xdr:row>41</xdr:row>
      <xdr:rowOff>54059</xdr:rowOff>
    </xdr:to>
    <xdr:grpSp>
      <xdr:nvGrpSpPr>
        <xdr:cNvPr id="2" name="Group 1">
          <a:extLst>
            <a:ext uri="{FF2B5EF4-FFF2-40B4-BE49-F238E27FC236}">
              <a16:creationId xmlns:a16="http://schemas.microsoft.com/office/drawing/2014/main" id="{EBA67C84-07E4-4974-88FA-20FDEFDF5C44}"/>
            </a:ext>
          </a:extLst>
        </xdr:cNvPr>
        <xdr:cNvGrpSpPr/>
      </xdr:nvGrpSpPr>
      <xdr:grpSpPr>
        <a:xfrm>
          <a:off x="439178" y="367054"/>
          <a:ext cx="13695922" cy="7497505"/>
          <a:chOff x="1752600" y="190500"/>
          <a:chExt cx="13468350" cy="7776000"/>
        </a:xfrm>
      </xdr:grpSpPr>
      <xdr:sp macro="" textlink="">
        <xdr:nvSpPr>
          <xdr:cNvPr id="3" name="Rectangle: Rounded Corners 2">
            <a:extLst>
              <a:ext uri="{FF2B5EF4-FFF2-40B4-BE49-F238E27FC236}">
                <a16:creationId xmlns:a16="http://schemas.microsoft.com/office/drawing/2014/main" id="{258DD155-50CA-9622-4082-E702A59E581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7047C7F6-F7D1-942A-0CD7-CB5718AB8B9B}"/>
              </a:ext>
            </a:extLst>
          </xdr:cNvPr>
          <xdr:cNvSpPr/>
        </xdr:nvSpPr>
        <xdr:spPr>
          <a:xfrm>
            <a:off x="1852449" y="270899"/>
            <a:ext cx="13274812" cy="834001"/>
          </a:xfrm>
          <a:prstGeom prst="roundRect">
            <a:avLst>
              <a:gd name="adj" fmla="val 10000"/>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3800">
                <a:solidFill>
                  <a:srgbClr val="7030A0"/>
                </a:solidFill>
                <a:effectLst>
                  <a:outerShdw blurRad="50800" dist="38100" algn="l" rotWithShape="0">
                    <a:prstClr val="black">
                      <a:alpha val="40000"/>
                    </a:prstClr>
                  </a:outerShdw>
                </a:effectLst>
                <a:latin typeface="Lato Black" panose="020F0A02020204030203" pitchFamily="34" charset="0"/>
              </a:rPr>
              <a:t>HR ATTRITION DASHBOARD</a:t>
            </a:r>
          </a:p>
        </xdr:txBody>
      </xdr:sp>
      <xdr:sp macro="" textlink="">
        <xdr:nvSpPr>
          <xdr:cNvPr id="5" name="Rectangle: Rounded Corners 4">
            <a:extLst>
              <a:ext uri="{FF2B5EF4-FFF2-40B4-BE49-F238E27FC236}">
                <a16:creationId xmlns:a16="http://schemas.microsoft.com/office/drawing/2014/main" id="{797B92A0-AE51-AC27-24C7-51F0FB3F046F}"/>
              </a:ext>
            </a:extLst>
          </xdr:cNvPr>
          <xdr:cNvSpPr/>
        </xdr:nvSpPr>
        <xdr:spPr>
          <a:xfrm>
            <a:off x="5819774" y="2304895"/>
            <a:ext cx="4819651" cy="2772878"/>
          </a:xfrm>
          <a:prstGeom prst="roundRect">
            <a:avLst>
              <a:gd name="adj" fmla="val 3303"/>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6" name="Group 5">
            <a:extLst>
              <a:ext uri="{FF2B5EF4-FFF2-40B4-BE49-F238E27FC236}">
                <a16:creationId xmlns:a16="http://schemas.microsoft.com/office/drawing/2014/main" id="{A32504B6-B012-F395-6F2A-664028EA0457}"/>
              </a:ext>
            </a:extLst>
          </xdr:cNvPr>
          <xdr:cNvGrpSpPr/>
        </xdr:nvGrpSpPr>
        <xdr:grpSpPr>
          <a:xfrm>
            <a:off x="1846116" y="1215714"/>
            <a:ext cx="13289109" cy="1011184"/>
            <a:chOff x="1846116" y="1215714"/>
            <a:chExt cx="13403409" cy="1011184"/>
          </a:xfrm>
        </xdr:grpSpPr>
        <xdr:sp macro="" textlink="">
          <xdr:nvSpPr>
            <xdr:cNvPr id="21" name="Rectangle: Rounded Corners 20">
              <a:extLst>
                <a:ext uri="{FF2B5EF4-FFF2-40B4-BE49-F238E27FC236}">
                  <a16:creationId xmlns:a16="http://schemas.microsoft.com/office/drawing/2014/main" id="{C474C360-3FDB-ED5C-96FB-135F2A527E62}"/>
                </a:ext>
              </a:extLst>
            </xdr:cNvPr>
            <xdr:cNvSpPr/>
          </xdr:nvSpPr>
          <xdr:spPr>
            <a:xfrm>
              <a:off x="1846116" y="1228050"/>
              <a:ext cx="2602058" cy="998848"/>
            </a:xfrm>
            <a:prstGeom prst="roundRect">
              <a:avLst>
                <a:gd name="adj" fmla="val 6048"/>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ysClr val="windowText" lastClr="000000"/>
                </a:solidFill>
              </a:endParaRPr>
            </a:p>
          </xdr:txBody>
        </xdr:sp>
        <xdr:sp macro="" textlink="">
          <xdr:nvSpPr>
            <xdr:cNvPr id="22" name="Rectangle: Rounded Corners 21">
              <a:extLst>
                <a:ext uri="{FF2B5EF4-FFF2-40B4-BE49-F238E27FC236}">
                  <a16:creationId xmlns:a16="http://schemas.microsoft.com/office/drawing/2014/main" id="{AC44A400-D463-7633-7280-BD3CBBE81C68}"/>
                </a:ext>
              </a:extLst>
            </xdr:cNvPr>
            <xdr:cNvSpPr/>
          </xdr:nvSpPr>
          <xdr:spPr>
            <a:xfrm>
              <a:off x="4546454" y="1215714"/>
              <a:ext cx="2602058" cy="998848"/>
            </a:xfrm>
            <a:prstGeom prst="roundRect">
              <a:avLst>
                <a:gd name="adj" fmla="val 6048"/>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61879C89-A73B-A875-B106-06AF63E3AB2E}"/>
                </a:ext>
              </a:extLst>
            </xdr:cNvPr>
            <xdr:cNvSpPr/>
          </xdr:nvSpPr>
          <xdr:spPr>
            <a:xfrm>
              <a:off x="7246792" y="1215714"/>
              <a:ext cx="2602058" cy="998848"/>
            </a:xfrm>
            <a:prstGeom prst="roundRect">
              <a:avLst>
                <a:gd name="adj" fmla="val 6048"/>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AB2BC85E-B0CD-14B2-1CCA-9F81B01D355E}"/>
                </a:ext>
              </a:extLst>
            </xdr:cNvPr>
            <xdr:cNvSpPr/>
          </xdr:nvSpPr>
          <xdr:spPr>
            <a:xfrm>
              <a:off x="9947130" y="1215714"/>
              <a:ext cx="2602058" cy="998848"/>
            </a:xfrm>
            <a:prstGeom prst="roundRect">
              <a:avLst>
                <a:gd name="adj" fmla="val 6048"/>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586074CB-CB9E-6A40-8A79-81E14CC0EB84}"/>
                </a:ext>
              </a:extLst>
            </xdr:cNvPr>
            <xdr:cNvSpPr/>
          </xdr:nvSpPr>
          <xdr:spPr>
            <a:xfrm>
              <a:off x="12647467" y="1215714"/>
              <a:ext cx="2602058" cy="998848"/>
            </a:xfrm>
            <a:prstGeom prst="roundRect">
              <a:avLst>
                <a:gd name="adj" fmla="val 6048"/>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7" name="Group 6">
            <a:extLst>
              <a:ext uri="{FF2B5EF4-FFF2-40B4-BE49-F238E27FC236}">
                <a16:creationId xmlns:a16="http://schemas.microsoft.com/office/drawing/2014/main" id="{B32A0AAD-74B9-6251-BEFB-AA072579FCF8}"/>
              </a:ext>
            </a:extLst>
          </xdr:cNvPr>
          <xdr:cNvGrpSpPr/>
        </xdr:nvGrpSpPr>
        <xdr:grpSpPr>
          <a:xfrm>
            <a:off x="1847145" y="5162550"/>
            <a:ext cx="3867930" cy="2709509"/>
            <a:chOff x="1847145" y="2304895"/>
            <a:chExt cx="3867930" cy="2772878"/>
          </a:xfrm>
        </xdr:grpSpPr>
        <xdr:sp macro="" textlink="">
          <xdr:nvSpPr>
            <xdr:cNvPr id="19" name="Rectangle: Rounded Corners 18">
              <a:extLst>
                <a:ext uri="{FF2B5EF4-FFF2-40B4-BE49-F238E27FC236}">
                  <a16:creationId xmlns:a16="http://schemas.microsoft.com/office/drawing/2014/main" id="{A7FB39D4-B30C-0E39-F10A-914F0AF95959}"/>
                </a:ext>
              </a:extLst>
            </xdr:cNvPr>
            <xdr:cNvSpPr/>
          </xdr:nvSpPr>
          <xdr:spPr>
            <a:xfrm>
              <a:off x="1847145" y="2304895"/>
              <a:ext cx="3867930" cy="2772878"/>
            </a:xfrm>
            <a:prstGeom prst="roundRect">
              <a:avLst>
                <a:gd name="adj" fmla="val 3303"/>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0" name="Straight Connector 19">
              <a:extLst>
                <a:ext uri="{FF2B5EF4-FFF2-40B4-BE49-F238E27FC236}">
                  <a16:creationId xmlns:a16="http://schemas.microsoft.com/office/drawing/2014/main" id="{A680F143-3573-F394-C90C-64FEA086E5A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8" name="Straight Connector 7">
            <a:extLst>
              <a:ext uri="{FF2B5EF4-FFF2-40B4-BE49-F238E27FC236}">
                <a16:creationId xmlns:a16="http://schemas.microsoft.com/office/drawing/2014/main" id="{D1980BA8-C8E1-D851-0C28-B0D9373E6C3B}"/>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9" name="Rectangle: Rounded Corners 8">
            <a:extLst>
              <a:ext uri="{FF2B5EF4-FFF2-40B4-BE49-F238E27FC236}">
                <a16:creationId xmlns:a16="http://schemas.microsoft.com/office/drawing/2014/main" id="{1C5DC286-9D53-4E87-D478-9C55682CE0B8}"/>
              </a:ext>
            </a:extLst>
          </xdr:cNvPr>
          <xdr:cNvSpPr/>
        </xdr:nvSpPr>
        <xdr:spPr>
          <a:xfrm>
            <a:off x="10744198" y="2304895"/>
            <a:ext cx="4381501" cy="2772878"/>
          </a:xfrm>
          <a:prstGeom prst="roundRect">
            <a:avLst>
              <a:gd name="adj" fmla="val 3303"/>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0" name="Straight Connector 9">
            <a:extLst>
              <a:ext uri="{FF2B5EF4-FFF2-40B4-BE49-F238E27FC236}">
                <a16:creationId xmlns:a16="http://schemas.microsoft.com/office/drawing/2014/main" id="{5F1920DF-97D5-B363-C526-461AD997A201}"/>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1" name="Rectangle: Rounded Corners 10">
            <a:extLst>
              <a:ext uri="{FF2B5EF4-FFF2-40B4-BE49-F238E27FC236}">
                <a16:creationId xmlns:a16="http://schemas.microsoft.com/office/drawing/2014/main" id="{430D64E9-C50B-C8F0-0AC7-7B6CDBF93761}"/>
              </a:ext>
            </a:extLst>
          </xdr:cNvPr>
          <xdr:cNvSpPr/>
        </xdr:nvSpPr>
        <xdr:spPr>
          <a:xfrm>
            <a:off x="1847145" y="2314575"/>
            <a:ext cx="3867930" cy="2754668"/>
          </a:xfrm>
          <a:prstGeom prst="roundRect">
            <a:avLst>
              <a:gd name="adj" fmla="val 3303"/>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2" name="Straight Connector 11">
            <a:extLst>
              <a:ext uri="{FF2B5EF4-FFF2-40B4-BE49-F238E27FC236}">
                <a16:creationId xmlns:a16="http://schemas.microsoft.com/office/drawing/2014/main" id="{C8250973-CF47-9BDE-9505-B8AC94252ECA}"/>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3" name="Rectangle: Rounded Corners 12">
            <a:extLst>
              <a:ext uri="{FF2B5EF4-FFF2-40B4-BE49-F238E27FC236}">
                <a16:creationId xmlns:a16="http://schemas.microsoft.com/office/drawing/2014/main" id="{923569BA-6A80-1317-7E7C-88CAE5846359}"/>
              </a:ext>
            </a:extLst>
          </xdr:cNvPr>
          <xdr:cNvSpPr/>
        </xdr:nvSpPr>
        <xdr:spPr>
          <a:xfrm>
            <a:off x="5809545" y="5162550"/>
            <a:ext cx="3564000" cy="2709509"/>
          </a:xfrm>
          <a:prstGeom prst="roundRect">
            <a:avLst>
              <a:gd name="adj" fmla="val 3303"/>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4" name="Straight Connector 13">
            <a:extLst>
              <a:ext uri="{FF2B5EF4-FFF2-40B4-BE49-F238E27FC236}">
                <a16:creationId xmlns:a16="http://schemas.microsoft.com/office/drawing/2014/main" id="{C4AE2794-AAB7-8B52-7D54-CD4322999F83}"/>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5" name="Rectangle: Rounded Corners 14">
            <a:extLst>
              <a:ext uri="{FF2B5EF4-FFF2-40B4-BE49-F238E27FC236}">
                <a16:creationId xmlns:a16="http://schemas.microsoft.com/office/drawing/2014/main" id="{142C2B38-9141-BB78-1B3C-FD37C26CC0A0}"/>
              </a:ext>
            </a:extLst>
          </xdr:cNvPr>
          <xdr:cNvSpPr/>
        </xdr:nvSpPr>
        <xdr:spPr>
          <a:xfrm>
            <a:off x="9467145" y="5162550"/>
            <a:ext cx="2844000" cy="2700000"/>
          </a:xfrm>
          <a:prstGeom prst="roundRect">
            <a:avLst>
              <a:gd name="adj" fmla="val 3303"/>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6" name="Straight Connector 15">
            <a:extLst>
              <a:ext uri="{FF2B5EF4-FFF2-40B4-BE49-F238E27FC236}">
                <a16:creationId xmlns:a16="http://schemas.microsoft.com/office/drawing/2014/main" id="{9A1BF097-3734-D2E3-BA0E-F6C3CDD51C74}"/>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7" name="Rectangle: Rounded Corners 16">
            <a:extLst>
              <a:ext uri="{FF2B5EF4-FFF2-40B4-BE49-F238E27FC236}">
                <a16:creationId xmlns:a16="http://schemas.microsoft.com/office/drawing/2014/main" id="{BB3D6203-CB2E-6315-AF91-BA0B251D6E16}"/>
              </a:ext>
            </a:extLst>
          </xdr:cNvPr>
          <xdr:cNvSpPr/>
        </xdr:nvSpPr>
        <xdr:spPr>
          <a:xfrm>
            <a:off x="12419895" y="5162550"/>
            <a:ext cx="2700000" cy="2700000"/>
          </a:xfrm>
          <a:prstGeom prst="roundRect">
            <a:avLst>
              <a:gd name="adj" fmla="val 3303"/>
            </a:avLst>
          </a:prstGeom>
          <a:gradFill>
            <a:gsLst>
              <a:gs pos="0">
                <a:schemeClr val="accent1">
                  <a:lumMod val="45000"/>
                  <a:lumOff val="55000"/>
                </a:schemeClr>
              </a:gs>
              <a:gs pos="32000">
                <a:schemeClr val="accent1">
                  <a:lumMod val="45000"/>
                  <a:lumOff val="55000"/>
                </a:schemeClr>
              </a:gs>
              <a:gs pos="64000">
                <a:schemeClr val="accent1">
                  <a:lumMod val="30000"/>
                  <a:lumOff val="70000"/>
                </a:schemeClr>
              </a:gs>
            </a:gsLst>
            <a:lin ang="5400000" scaled="1"/>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8" name="Straight Connector 17">
            <a:extLst>
              <a:ext uri="{FF2B5EF4-FFF2-40B4-BE49-F238E27FC236}">
                <a16:creationId xmlns:a16="http://schemas.microsoft.com/office/drawing/2014/main" id="{DA406546-8660-7CF5-016E-C09E73D00CE4}"/>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540658</xdr:colOff>
      <xdr:row>6</xdr:row>
      <xdr:rowOff>197118</xdr:rowOff>
    </xdr:from>
    <xdr:to>
      <xdr:col>3</xdr:col>
      <xdr:colOff>595513</xdr:colOff>
      <xdr:row>8</xdr:row>
      <xdr:rowOff>153681</xdr:rowOff>
    </xdr:to>
    <xdr:sp macro="" textlink="">
      <xdr:nvSpPr>
        <xdr:cNvPr id="26" name="TextBox 25">
          <a:extLst>
            <a:ext uri="{FF2B5EF4-FFF2-40B4-BE49-F238E27FC236}">
              <a16:creationId xmlns:a16="http://schemas.microsoft.com/office/drawing/2014/main" id="{C26F821B-9122-917B-4D37-875F302622ED}"/>
            </a:ext>
          </a:extLst>
        </xdr:cNvPr>
        <xdr:cNvSpPr txBox="1"/>
      </xdr:nvSpPr>
      <xdr:spPr>
        <a:xfrm>
          <a:off x="540658" y="1388143"/>
          <a:ext cx="2110334" cy="3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Total Employees</a:t>
          </a:r>
        </a:p>
      </xdr:txBody>
    </xdr:sp>
    <xdr:clientData/>
  </xdr:twoCellAnchor>
  <xdr:twoCellAnchor>
    <xdr:from>
      <xdr:col>5</xdr:col>
      <xdr:colOff>357414</xdr:colOff>
      <xdr:row>7</xdr:row>
      <xdr:rowOff>25614</xdr:rowOff>
    </xdr:from>
    <xdr:to>
      <xdr:col>7</xdr:col>
      <xdr:colOff>105441</xdr:colOff>
      <xdr:row>8</xdr:row>
      <xdr:rowOff>179294</xdr:rowOff>
    </xdr:to>
    <xdr:sp macro="" textlink="">
      <xdr:nvSpPr>
        <xdr:cNvPr id="27" name="TextBox 26">
          <a:extLst>
            <a:ext uri="{FF2B5EF4-FFF2-40B4-BE49-F238E27FC236}">
              <a16:creationId xmlns:a16="http://schemas.microsoft.com/office/drawing/2014/main" id="{1D6483AD-B9F8-B7C3-F49A-350F1AEAF772}"/>
            </a:ext>
          </a:extLst>
        </xdr:cNvPr>
        <xdr:cNvSpPr txBox="1"/>
      </xdr:nvSpPr>
      <xdr:spPr>
        <a:xfrm>
          <a:off x="3804557" y="1397214"/>
          <a:ext cx="1126884"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Attrition</a:t>
          </a:r>
        </a:p>
      </xdr:txBody>
    </xdr:sp>
    <xdr:clientData/>
  </xdr:twoCellAnchor>
  <xdr:twoCellAnchor>
    <xdr:from>
      <xdr:col>8</xdr:col>
      <xdr:colOff>497008</xdr:colOff>
      <xdr:row>7</xdr:row>
      <xdr:rowOff>2136</xdr:rowOff>
    </xdr:from>
    <xdr:to>
      <xdr:col>11</xdr:col>
      <xdr:colOff>638629</xdr:colOff>
      <xdr:row>8</xdr:row>
      <xdr:rowOff>167342</xdr:rowOff>
    </xdr:to>
    <xdr:sp macro="" textlink="">
      <xdr:nvSpPr>
        <xdr:cNvPr id="28" name="TextBox 27">
          <a:extLst>
            <a:ext uri="{FF2B5EF4-FFF2-40B4-BE49-F238E27FC236}">
              <a16:creationId xmlns:a16="http://schemas.microsoft.com/office/drawing/2014/main" id="{24DA6FE6-3C38-7E26-D5FD-F6A401AD6B1C}"/>
            </a:ext>
          </a:extLst>
        </xdr:cNvPr>
        <xdr:cNvSpPr txBox="1"/>
      </xdr:nvSpPr>
      <xdr:spPr>
        <a:xfrm>
          <a:off x="6012437" y="1373736"/>
          <a:ext cx="2209906" cy="361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Active Employees</a:t>
          </a:r>
        </a:p>
      </xdr:txBody>
    </xdr:sp>
    <xdr:clientData/>
  </xdr:twoCellAnchor>
  <xdr:twoCellAnchor>
    <xdr:from>
      <xdr:col>13</xdr:col>
      <xdr:colOff>159122</xdr:colOff>
      <xdr:row>7</xdr:row>
      <xdr:rowOff>28174</xdr:rowOff>
    </xdr:from>
    <xdr:to>
      <xdr:col>15</xdr:col>
      <xdr:colOff>526782</xdr:colOff>
      <xdr:row>8</xdr:row>
      <xdr:rowOff>175452</xdr:rowOff>
    </xdr:to>
    <xdr:sp macro="" textlink="">
      <xdr:nvSpPr>
        <xdr:cNvPr id="29" name="TextBox 28">
          <a:extLst>
            <a:ext uri="{FF2B5EF4-FFF2-40B4-BE49-F238E27FC236}">
              <a16:creationId xmlns:a16="http://schemas.microsoft.com/office/drawing/2014/main" id="{EB454B4D-14E8-4597-B7EB-90D45D3F2041}"/>
            </a:ext>
          </a:extLst>
        </xdr:cNvPr>
        <xdr:cNvSpPr txBox="1"/>
      </xdr:nvSpPr>
      <xdr:spPr>
        <a:xfrm>
          <a:off x="9121693" y="1399774"/>
          <a:ext cx="1746518" cy="343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Attrition Rate</a:t>
          </a:r>
        </a:p>
      </xdr:txBody>
    </xdr:sp>
    <xdr:clientData/>
  </xdr:twoCellAnchor>
  <xdr:twoCellAnchor>
    <xdr:from>
      <xdr:col>17</xdr:col>
      <xdr:colOff>92528</xdr:colOff>
      <xdr:row>7</xdr:row>
      <xdr:rowOff>25401</xdr:rowOff>
    </xdr:from>
    <xdr:to>
      <xdr:col>19</xdr:col>
      <xdr:colOff>358162</xdr:colOff>
      <xdr:row>8</xdr:row>
      <xdr:rowOff>190821</xdr:rowOff>
    </xdr:to>
    <xdr:sp macro="" textlink="">
      <xdr:nvSpPr>
        <xdr:cNvPr id="30" name="TextBox 29">
          <a:extLst>
            <a:ext uri="{FF2B5EF4-FFF2-40B4-BE49-F238E27FC236}">
              <a16:creationId xmlns:a16="http://schemas.microsoft.com/office/drawing/2014/main" id="{0C70BD78-412C-4C7B-5366-E4FA3172E9B8}"/>
            </a:ext>
          </a:extLst>
        </xdr:cNvPr>
        <xdr:cNvSpPr txBox="1"/>
      </xdr:nvSpPr>
      <xdr:spPr>
        <a:xfrm>
          <a:off x="11812814" y="1397001"/>
          <a:ext cx="1644491" cy="361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Average Age</a:t>
          </a:r>
        </a:p>
      </xdr:txBody>
    </xdr:sp>
    <xdr:clientData/>
  </xdr:twoCellAnchor>
  <xdr:twoCellAnchor editAs="oneCell">
    <xdr:from>
      <xdr:col>0</xdr:col>
      <xdr:colOff>647700</xdr:colOff>
      <xdr:row>15</xdr:row>
      <xdr:rowOff>168806</xdr:rowOff>
    </xdr:from>
    <xdr:to>
      <xdr:col>2</xdr:col>
      <xdr:colOff>33498</xdr:colOff>
      <xdr:row>19</xdr:row>
      <xdr:rowOff>140493</xdr:rowOff>
    </xdr:to>
    <xdr:pic>
      <xdr:nvPicPr>
        <xdr:cNvPr id="37" name="Graphic 36" descr="Female Profile with solid fill">
          <a:extLst>
            <a:ext uri="{FF2B5EF4-FFF2-40B4-BE49-F238E27FC236}">
              <a16:creationId xmlns:a16="http://schemas.microsoft.com/office/drawing/2014/main" id="{B0A9FDEF-06EC-401C-9E25-68A66552AA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7700" y="3216806"/>
          <a:ext cx="757398" cy="784487"/>
        </a:xfrm>
        <a:prstGeom prst="rect">
          <a:avLst/>
        </a:prstGeom>
      </xdr:spPr>
    </xdr:pic>
    <xdr:clientData/>
  </xdr:twoCellAnchor>
  <xdr:twoCellAnchor editAs="oneCell">
    <xdr:from>
      <xdr:col>5</xdr:col>
      <xdr:colOff>6350</xdr:colOff>
      <xdr:row>20</xdr:row>
      <xdr:rowOff>39182</xdr:rowOff>
    </xdr:from>
    <xdr:to>
      <xdr:col>6</xdr:col>
      <xdr:colOff>147877</xdr:colOff>
      <xdr:row>24</xdr:row>
      <xdr:rowOff>92316</xdr:rowOff>
    </xdr:to>
    <xdr:pic>
      <xdr:nvPicPr>
        <xdr:cNvPr id="38" name="Graphic 37" descr="Male profile with solid fill">
          <a:extLst>
            <a:ext uri="{FF2B5EF4-FFF2-40B4-BE49-F238E27FC236}">
              <a16:creationId xmlns:a16="http://schemas.microsoft.com/office/drawing/2014/main" id="{0D8B20A6-3782-4E64-B29B-1D48D3A4BF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435350" y="4103182"/>
          <a:ext cx="827327" cy="865934"/>
        </a:xfrm>
        <a:prstGeom prst="rect">
          <a:avLst/>
        </a:prstGeom>
      </xdr:spPr>
    </xdr:pic>
    <xdr:clientData/>
  </xdr:twoCellAnchor>
  <xdr:twoCellAnchor>
    <xdr:from>
      <xdr:col>1</xdr:col>
      <xdr:colOff>355599</xdr:colOff>
      <xdr:row>8</xdr:row>
      <xdr:rowOff>50800</xdr:rowOff>
    </xdr:from>
    <xdr:to>
      <xdr:col>3</xdr:col>
      <xdr:colOff>263524</xdr:colOff>
      <xdr:row>11</xdr:row>
      <xdr:rowOff>6350</xdr:rowOff>
    </xdr:to>
    <xdr:sp macro="" textlink="KPI_1">
      <xdr:nvSpPr>
        <xdr:cNvPr id="39" name="TextBox 38">
          <a:extLst>
            <a:ext uri="{FF2B5EF4-FFF2-40B4-BE49-F238E27FC236}">
              <a16:creationId xmlns:a16="http://schemas.microsoft.com/office/drawing/2014/main" id="{9FC05953-0CC5-A13E-DB5F-3EC4EDA3AC37}"/>
            </a:ext>
          </a:extLst>
        </xdr:cNvPr>
        <xdr:cNvSpPr txBox="1"/>
      </xdr:nvSpPr>
      <xdr:spPr>
        <a:xfrm>
          <a:off x="1041399" y="1676400"/>
          <a:ext cx="1279525"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692FCA-ACF1-4112-8E8A-5FD4F6A93995}" type="TxLink">
            <a:rPr lang="en-US" sz="3600" b="1" i="0" u="none" strike="noStrike">
              <a:solidFill>
                <a:srgbClr val="000000"/>
              </a:solidFill>
              <a:latin typeface="Calibri"/>
              <a:ea typeface="+mn-ea"/>
              <a:cs typeface="Calibri"/>
            </a:rPr>
            <a:pPr marL="0" indent="0"/>
            <a:t>1470</a:t>
          </a:fld>
          <a:endParaRPr lang="en-US" sz="3600" b="1" i="0" u="none" strike="noStrike">
            <a:solidFill>
              <a:srgbClr val="000000"/>
            </a:solidFill>
            <a:latin typeface="Calibri"/>
            <a:ea typeface="+mn-ea"/>
            <a:cs typeface="Calibri"/>
          </a:endParaRPr>
        </a:p>
      </xdr:txBody>
    </xdr:sp>
    <xdr:clientData/>
  </xdr:twoCellAnchor>
  <xdr:twoCellAnchor>
    <xdr:from>
      <xdr:col>5</xdr:col>
      <xdr:colOff>415924</xdr:colOff>
      <xdr:row>8</xdr:row>
      <xdr:rowOff>50800</xdr:rowOff>
    </xdr:from>
    <xdr:to>
      <xdr:col>7</xdr:col>
      <xdr:colOff>323849</xdr:colOff>
      <xdr:row>11</xdr:row>
      <xdr:rowOff>6350</xdr:rowOff>
    </xdr:to>
    <xdr:sp macro="" textlink="KPI_2">
      <xdr:nvSpPr>
        <xdr:cNvPr id="40" name="TextBox 39">
          <a:extLst>
            <a:ext uri="{FF2B5EF4-FFF2-40B4-BE49-F238E27FC236}">
              <a16:creationId xmlns:a16="http://schemas.microsoft.com/office/drawing/2014/main" id="{E9EE1814-66A3-EB4A-FC7B-11CD68056D67}"/>
            </a:ext>
          </a:extLst>
        </xdr:cNvPr>
        <xdr:cNvSpPr txBox="1"/>
      </xdr:nvSpPr>
      <xdr:spPr>
        <a:xfrm>
          <a:off x="3844924" y="1676400"/>
          <a:ext cx="1279525"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E40CBD-4373-4636-984E-AA7D7427A83F}" type="TxLink">
            <a:rPr lang="en-US" sz="3600" b="1" i="0" u="none" strike="noStrike">
              <a:solidFill>
                <a:srgbClr val="000000"/>
              </a:solidFill>
              <a:latin typeface="Calibri"/>
              <a:ea typeface="+mn-ea"/>
              <a:cs typeface="Calibri"/>
            </a:rPr>
            <a:pPr marL="0" indent="0"/>
            <a:t>237</a:t>
          </a:fld>
          <a:endParaRPr lang="en-US" sz="3600" b="1" i="0" u="none" strike="noStrike">
            <a:solidFill>
              <a:srgbClr val="000000"/>
            </a:solidFill>
            <a:latin typeface="Calibri"/>
            <a:ea typeface="+mn-ea"/>
            <a:cs typeface="Calibri"/>
          </a:endParaRPr>
        </a:p>
      </xdr:txBody>
    </xdr:sp>
    <xdr:clientData/>
  </xdr:twoCellAnchor>
  <xdr:twoCellAnchor>
    <xdr:from>
      <xdr:col>9</xdr:col>
      <xdr:colOff>476249</xdr:colOff>
      <xdr:row>8</xdr:row>
      <xdr:rowOff>50800</xdr:rowOff>
    </xdr:from>
    <xdr:to>
      <xdr:col>11</xdr:col>
      <xdr:colOff>384174</xdr:colOff>
      <xdr:row>11</xdr:row>
      <xdr:rowOff>6350</xdr:rowOff>
    </xdr:to>
    <xdr:sp macro="" textlink="KPI_3">
      <xdr:nvSpPr>
        <xdr:cNvPr id="41" name="TextBox 40">
          <a:extLst>
            <a:ext uri="{FF2B5EF4-FFF2-40B4-BE49-F238E27FC236}">
              <a16:creationId xmlns:a16="http://schemas.microsoft.com/office/drawing/2014/main" id="{0B2CDC5C-1556-9DE7-D017-8649A00D2F15}"/>
            </a:ext>
          </a:extLst>
        </xdr:cNvPr>
        <xdr:cNvSpPr txBox="1"/>
      </xdr:nvSpPr>
      <xdr:spPr>
        <a:xfrm>
          <a:off x="6648449" y="1676400"/>
          <a:ext cx="1279525"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C18057-8FFE-410F-8C21-F2BD94F8978B}" type="TxLink">
            <a:rPr lang="en-US" sz="3600" b="1" i="0" u="none" strike="noStrike">
              <a:solidFill>
                <a:srgbClr val="000000"/>
              </a:solidFill>
              <a:latin typeface="Calibri"/>
              <a:ea typeface="+mn-ea"/>
              <a:cs typeface="Calibri"/>
            </a:rPr>
            <a:pPr marL="0" indent="0"/>
            <a:t>1233</a:t>
          </a:fld>
          <a:endParaRPr lang="en-US" sz="3600" b="1" i="0" u="none" strike="noStrike">
            <a:solidFill>
              <a:srgbClr val="000000"/>
            </a:solidFill>
            <a:latin typeface="Calibri"/>
            <a:ea typeface="+mn-ea"/>
            <a:cs typeface="Calibri"/>
          </a:endParaRPr>
        </a:p>
      </xdr:txBody>
    </xdr:sp>
    <xdr:clientData/>
  </xdr:twoCellAnchor>
  <xdr:twoCellAnchor>
    <xdr:from>
      <xdr:col>13</xdr:col>
      <xdr:colOff>449489</xdr:colOff>
      <xdr:row>8</xdr:row>
      <xdr:rowOff>50800</xdr:rowOff>
    </xdr:from>
    <xdr:to>
      <xdr:col>15</xdr:col>
      <xdr:colOff>357414</xdr:colOff>
      <xdr:row>11</xdr:row>
      <xdr:rowOff>6350</xdr:rowOff>
    </xdr:to>
    <xdr:sp macro="" textlink="KPI_4">
      <xdr:nvSpPr>
        <xdr:cNvPr id="42" name="TextBox 41">
          <a:extLst>
            <a:ext uri="{FF2B5EF4-FFF2-40B4-BE49-F238E27FC236}">
              <a16:creationId xmlns:a16="http://schemas.microsoft.com/office/drawing/2014/main" id="{4E132302-176B-F3EA-66D5-18DCBDA72691}"/>
            </a:ext>
          </a:extLst>
        </xdr:cNvPr>
        <xdr:cNvSpPr txBox="1"/>
      </xdr:nvSpPr>
      <xdr:spPr>
        <a:xfrm>
          <a:off x="9412060" y="1618343"/>
          <a:ext cx="1286783" cy="543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BCFF68-7CED-475C-8624-80D536EDC218}" type="TxLink">
            <a:rPr lang="en-US" sz="3600" b="1" i="0" u="none" strike="noStrike">
              <a:solidFill>
                <a:srgbClr val="000000"/>
              </a:solidFill>
              <a:latin typeface="Calibri"/>
              <a:ea typeface="+mn-ea"/>
              <a:cs typeface="Calibri"/>
            </a:rPr>
            <a:pPr marL="0" indent="0"/>
            <a:t>16.12%</a:t>
          </a:fld>
          <a:endParaRPr lang="en-US" sz="3600" b="1" i="0" u="none" strike="noStrike">
            <a:solidFill>
              <a:srgbClr val="000000"/>
            </a:solidFill>
            <a:latin typeface="Calibri"/>
            <a:ea typeface="+mn-ea"/>
            <a:cs typeface="Calibri"/>
          </a:endParaRPr>
        </a:p>
      </xdr:txBody>
    </xdr:sp>
    <xdr:clientData/>
  </xdr:twoCellAnchor>
  <xdr:twoCellAnchor>
    <xdr:from>
      <xdr:col>17</xdr:col>
      <xdr:colOff>596900</xdr:colOff>
      <xdr:row>8</xdr:row>
      <xdr:rowOff>50800</xdr:rowOff>
    </xdr:from>
    <xdr:to>
      <xdr:col>18</xdr:col>
      <xdr:colOff>629934</xdr:colOff>
      <xdr:row>11</xdr:row>
      <xdr:rowOff>6350</xdr:rowOff>
    </xdr:to>
    <xdr:sp macro="" textlink="KPI_5">
      <xdr:nvSpPr>
        <xdr:cNvPr id="43" name="TextBox 42">
          <a:extLst>
            <a:ext uri="{FF2B5EF4-FFF2-40B4-BE49-F238E27FC236}">
              <a16:creationId xmlns:a16="http://schemas.microsoft.com/office/drawing/2014/main" id="{0054D7F5-16B2-558A-BE19-9F5EAA5EE3F1}"/>
            </a:ext>
          </a:extLst>
        </xdr:cNvPr>
        <xdr:cNvSpPr txBox="1"/>
      </xdr:nvSpPr>
      <xdr:spPr>
        <a:xfrm>
          <a:off x="12255500" y="1676400"/>
          <a:ext cx="718834"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976F68A-E5D2-4DCA-B098-2D5C9FF4B71E}" type="TxLink">
            <a:rPr lang="en-US" sz="3600" b="1" i="0" u="none" strike="noStrike">
              <a:solidFill>
                <a:srgbClr val="000000"/>
              </a:solidFill>
              <a:latin typeface="Calibri"/>
              <a:ea typeface="+mn-ea"/>
              <a:cs typeface="Calibri"/>
            </a:rPr>
            <a:pPr marL="0" indent="0"/>
            <a:t>37</a:t>
          </a:fld>
          <a:endParaRPr lang="en-US" sz="3600" b="1" i="0" u="none" strike="noStrike">
            <a:solidFill>
              <a:srgbClr val="000000"/>
            </a:solidFill>
            <a:latin typeface="Calibri"/>
            <a:ea typeface="+mn-ea"/>
            <a:cs typeface="Calibri"/>
          </a:endParaRPr>
        </a:p>
      </xdr:txBody>
    </xdr:sp>
    <xdr:clientData/>
  </xdr:twoCellAnchor>
  <xdr:twoCellAnchor editAs="oneCell">
    <xdr:from>
      <xdr:col>3</xdr:col>
      <xdr:colOff>508000</xdr:colOff>
      <xdr:row>7</xdr:row>
      <xdr:rowOff>76200</xdr:rowOff>
    </xdr:from>
    <xdr:to>
      <xdr:col>4</xdr:col>
      <xdr:colOff>360218</xdr:colOff>
      <xdr:row>10</xdr:row>
      <xdr:rowOff>7292</xdr:rowOff>
    </xdr:to>
    <xdr:pic>
      <xdr:nvPicPr>
        <xdr:cNvPr id="72" name="Graphic 71" descr="Users with solid fill">
          <a:extLst>
            <a:ext uri="{FF2B5EF4-FFF2-40B4-BE49-F238E27FC236}">
              <a16:creationId xmlns:a16="http://schemas.microsoft.com/office/drawing/2014/main" id="{DF850206-3C00-F985-29A9-933EDDE810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5400" y="1482436"/>
          <a:ext cx="538018" cy="533765"/>
        </a:xfrm>
        <a:prstGeom prst="rect">
          <a:avLst/>
        </a:prstGeom>
      </xdr:spPr>
    </xdr:pic>
    <xdr:clientData/>
  </xdr:twoCellAnchor>
  <xdr:twoCellAnchor>
    <xdr:from>
      <xdr:col>0</xdr:col>
      <xdr:colOff>286778</xdr:colOff>
      <xdr:row>13</xdr:row>
      <xdr:rowOff>201954</xdr:rowOff>
    </xdr:from>
    <xdr:to>
      <xdr:col>6</xdr:col>
      <xdr:colOff>431800</xdr:colOff>
      <xdr:row>26</xdr:row>
      <xdr:rowOff>0</xdr:rowOff>
    </xdr:to>
    <xdr:graphicFrame macro="">
      <xdr:nvGraphicFramePr>
        <xdr:cNvPr id="31" name="Chart 30">
          <a:extLst>
            <a:ext uri="{FF2B5EF4-FFF2-40B4-BE49-F238E27FC236}">
              <a16:creationId xmlns:a16="http://schemas.microsoft.com/office/drawing/2014/main" id="{422ADB57-ACD3-40C6-9397-38F8CA15F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175239</xdr:colOff>
      <xdr:row>12</xdr:row>
      <xdr:rowOff>108431</xdr:rowOff>
    </xdr:from>
    <xdr:to>
      <xdr:col>7</xdr:col>
      <xdr:colOff>124439</xdr:colOff>
      <xdr:row>14</xdr:row>
      <xdr:rowOff>64034</xdr:rowOff>
    </xdr:to>
    <xdr:sp macro="" textlink="">
      <xdr:nvSpPr>
        <xdr:cNvPr id="44" name="TextBox 43">
          <a:extLst>
            <a:ext uri="{FF2B5EF4-FFF2-40B4-BE49-F238E27FC236}">
              <a16:creationId xmlns:a16="http://schemas.microsoft.com/office/drawing/2014/main" id="{4758196B-2E81-35C4-9E33-784484887352}"/>
            </a:ext>
          </a:extLst>
        </xdr:cNvPr>
        <xdr:cNvSpPr txBox="1"/>
      </xdr:nvSpPr>
      <xdr:spPr>
        <a:xfrm>
          <a:off x="860399" y="2490481"/>
          <a:ext cx="4060158" cy="352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Total Employees by Gender</a:t>
          </a:r>
        </a:p>
      </xdr:txBody>
    </xdr:sp>
    <xdr:clientData/>
  </xdr:twoCellAnchor>
  <xdr:twoCellAnchor>
    <xdr:from>
      <xdr:col>8</xdr:col>
      <xdr:colOff>162540</xdr:colOff>
      <xdr:row>12</xdr:row>
      <xdr:rowOff>121024</xdr:rowOff>
    </xdr:from>
    <xdr:to>
      <xdr:col>12</xdr:col>
      <xdr:colOff>403412</xdr:colOff>
      <xdr:row>14</xdr:row>
      <xdr:rowOff>70436</xdr:rowOff>
    </xdr:to>
    <xdr:sp macro="" textlink="">
      <xdr:nvSpPr>
        <xdr:cNvPr id="45" name="TextBox 44">
          <a:extLst>
            <a:ext uri="{FF2B5EF4-FFF2-40B4-BE49-F238E27FC236}">
              <a16:creationId xmlns:a16="http://schemas.microsoft.com/office/drawing/2014/main" id="{0AD54B62-79D3-3959-D71D-A36B998EC38C}"/>
            </a:ext>
          </a:extLst>
        </xdr:cNvPr>
        <xdr:cNvSpPr txBox="1"/>
      </xdr:nvSpPr>
      <xdr:spPr>
        <a:xfrm>
          <a:off x="5643817" y="2503074"/>
          <a:ext cx="2981511" cy="34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Education wise Attrition</a:t>
          </a:r>
        </a:p>
      </xdr:txBody>
    </xdr:sp>
    <xdr:clientData/>
  </xdr:twoCellAnchor>
  <xdr:twoCellAnchor>
    <xdr:from>
      <xdr:col>14</xdr:col>
      <xdr:colOff>632332</xdr:colOff>
      <xdr:row>12</xdr:row>
      <xdr:rowOff>133832</xdr:rowOff>
    </xdr:from>
    <xdr:to>
      <xdr:col>19</xdr:col>
      <xdr:colOff>512269</xdr:colOff>
      <xdr:row>14</xdr:row>
      <xdr:rowOff>83244</xdr:rowOff>
    </xdr:to>
    <xdr:sp macro="" textlink="">
      <xdr:nvSpPr>
        <xdr:cNvPr id="46" name="TextBox 45">
          <a:extLst>
            <a:ext uri="{FF2B5EF4-FFF2-40B4-BE49-F238E27FC236}">
              <a16:creationId xmlns:a16="http://schemas.microsoft.com/office/drawing/2014/main" id="{FDC2628B-5CCF-69E5-075B-D2E30C7249B0}"/>
            </a:ext>
          </a:extLst>
        </xdr:cNvPr>
        <xdr:cNvSpPr txBox="1"/>
      </xdr:nvSpPr>
      <xdr:spPr>
        <a:xfrm>
          <a:off x="10224567" y="2515882"/>
          <a:ext cx="3305736" cy="34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Attrition by Job Role - Top 5</a:t>
          </a:r>
        </a:p>
      </xdr:txBody>
    </xdr:sp>
    <xdr:clientData/>
  </xdr:twoCellAnchor>
  <xdr:twoCellAnchor>
    <xdr:from>
      <xdr:col>1</xdr:col>
      <xdr:colOff>251012</xdr:colOff>
      <xdr:row>27</xdr:row>
      <xdr:rowOff>12808</xdr:rowOff>
    </xdr:from>
    <xdr:to>
      <xdr:col>5</xdr:col>
      <xdr:colOff>621127</xdr:colOff>
      <xdr:row>29</xdr:row>
      <xdr:rowOff>1</xdr:rowOff>
    </xdr:to>
    <xdr:sp macro="" textlink="">
      <xdr:nvSpPr>
        <xdr:cNvPr id="47" name="TextBox 46">
          <a:extLst>
            <a:ext uri="{FF2B5EF4-FFF2-40B4-BE49-F238E27FC236}">
              <a16:creationId xmlns:a16="http://schemas.microsoft.com/office/drawing/2014/main" id="{B413F2D3-2AC5-5D03-B16A-15AC03A93478}"/>
            </a:ext>
          </a:extLst>
        </xdr:cNvPr>
        <xdr:cNvSpPr txBox="1"/>
      </xdr:nvSpPr>
      <xdr:spPr>
        <a:xfrm>
          <a:off x="936172" y="5372421"/>
          <a:ext cx="3110753" cy="384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Department wise Attrition </a:t>
          </a:r>
        </a:p>
      </xdr:txBody>
    </xdr:sp>
    <xdr:clientData/>
  </xdr:twoCellAnchor>
  <xdr:twoCellAnchor>
    <xdr:from>
      <xdr:col>7</xdr:col>
      <xdr:colOff>257095</xdr:colOff>
      <xdr:row>26</xdr:row>
      <xdr:rowOff>198504</xdr:rowOff>
    </xdr:from>
    <xdr:to>
      <xdr:col>11</xdr:col>
      <xdr:colOff>185698</xdr:colOff>
      <xdr:row>28</xdr:row>
      <xdr:rowOff>179294</xdr:rowOff>
    </xdr:to>
    <xdr:sp macro="" textlink="">
      <xdr:nvSpPr>
        <xdr:cNvPr id="48" name="TextBox 47">
          <a:extLst>
            <a:ext uri="{FF2B5EF4-FFF2-40B4-BE49-F238E27FC236}">
              <a16:creationId xmlns:a16="http://schemas.microsoft.com/office/drawing/2014/main" id="{F7CAB960-02AA-6BA1-1AA3-F8706EC238E0}"/>
            </a:ext>
          </a:extLst>
        </xdr:cNvPr>
        <xdr:cNvSpPr txBox="1"/>
      </xdr:nvSpPr>
      <xdr:spPr>
        <a:xfrm>
          <a:off x="5053213" y="5359613"/>
          <a:ext cx="2669241" cy="37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Attrition by Age Group</a:t>
          </a:r>
        </a:p>
      </xdr:txBody>
    </xdr:sp>
    <xdr:clientData/>
  </xdr:twoCellAnchor>
  <xdr:twoCellAnchor>
    <xdr:from>
      <xdr:col>12</xdr:col>
      <xdr:colOff>12807</xdr:colOff>
      <xdr:row>27</xdr:row>
      <xdr:rowOff>43436</xdr:rowOff>
    </xdr:from>
    <xdr:to>
      <xdr:col>16</xdr:col>
      <xdr:colOff>345781</xdr:colOff>
      <xdr:row>28</xdr:row>
      <xdr:rowOff>192100</xdr:rowOff>
    </xdr:to>
    <xdr:sp macro="" textlink="">
      <xdr:nvSpPr>
        <xdr:cNvPr id="49" name="TextBox 48">
          <a:extLst>
            <a:ext uri="{FF2B5EF4-FFF2-40B4-BE49-F238E27FC236}">
              <a16:creationId xmlns:a16="http://schemas.microsoft.com/office/drawing/2014/main" id="{1C579762-D3F1-4CBE-1F5F-FEFE3F817617}"/>
            </a:ext>
          </a:extLst>
        </xdr:cNvPr>
        <xdr:cNvSpPr txBox="1"/>
      </xdr:nvSpPr>
      <xdr:spPr>
        <a:xfrm>
          <a:off x="8242407" y="5333893"/>
          <a:ext cx="3076174" cy="34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rgbClr val="740000"/>
              </a:solidFill>
              <a:latin typeface="Arial Black" panose="020B0A04020102020204" pitchFamily="34" charset="0"/>
            </a:rPr>
            <a:t>Attrition by Marital Status</a:t>
          </a:r>
          <a:endParaRPr lang="en-US" sz="1600" b="1">
            <a:solidFill>
              <a:srgbClr val="740000"/>
            </a:solidFill>
            <a:latin typeface="Arial Black" panose="020B0A04020102020204" pitchFamily="34" charset="0"/>
          </a:endParaRPr>
        </a:p>
      </xdr:txBody>
    </xdr:sp>
    <xdr:clientData/>
  </xdr:twoCellAnchor>
  <xdr:twoCellAnchor>
    <xdr:from>
      <xdr:col>17</xdr:col>
      <xdr:colOff>373957</xdr:colOff>
      <xdr:row>27</xdr:row>
      <xdr:rowOff>43223</xdr:rowOff>
    </xdr:from>
    <xdr:to>
      <xdr:col>19</xdr:col>
      <xdr:colOff>499462</xdr:colOff>
      <xdr:row>29</xdr:row>
      <xdr:rowOff>12807</xdr:rowOff>
    </xdr:to>
    <xdr:sp macro="" textlink="">
      <xdr:nvSpPr>
        <xdr:cNvPr id="50" name="TextBox 49">
          <a:extLst>
            <a:ext uri="{FF2B5EF4-FFF2-40B4-BE49-F238E27FC236}">
              <a16:creationId xmlns:a16="http://schemas.microsoft.com/office/drawing/2014/main" id="{035DACBF-E311-3EAE-D4D8-AB0CE0831BE9}"/>
            </a:ext>
          </a:extLst>
        </xdr:cNvPr>
        <xdr:cNvSpPr txBox="1"/>
      </xdr:nvSpPr>
      <xdr:spPr>
        <a:xfrm>
          <a:off x="12021671" y="5402836"/>
          <a:ext cx="1495825" cy="366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rgbClr val="740000"/>
              </a:solidFill>
              <a:latin typeface="Arial Black" panose="020B0A04020102020204" pitchFamily="34" charset="0"/>
              <a:ea typeface="+mn-ea"/>
              <a:cs typeface="+mn-cs"/>
            </a:rPr>
            <a:t>Filter Panel</a:t>
          </a:r>
        </a:p>
      </xdr:txBody>
    </xdr:sp>
    <xdr:clientData/>
  </xdr:twoCellAnchor>
  <xdr:twoCellAnchor>
    <xdr:from>
      <xdr:col>7</xdr:col>
      <xdr:colOff>32017</xdr:colOff>
      <xdr:row>14</xdr:row>
      <xdr:rowOff>22871</xdr:rowOff>
    </xdr:from>
    <xdr:to>
      <xdr:col>13</xdr:col>
      <xdr:colOff>646739</xdr:colOff>
      <xdr:row>26</xdr:row>
      <xdr:rowOff>140873</xdr:rowOff>
    </xdr:to>
    <xdr:graphicFrame macro="">
      <xdr:nvGraphicFramePr>
        <xdr:cNvPr id="51" name="Chart 50">
          <a:extLst>
            <a:ext uri="{FF2B5EF4-FFF2-40B4-BE49-F238E27FC236}">
              <a16:creationId xmlns:a16="http://schemas.microsoft.com/office/drawing/2014/main" id="{47B2C9CC-698B-4F43-9F99-7EDCCF310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12699</xdr:colOff>
      <xdr:row>14</xdr:row>
      <xdr:rowOff>63500</xdr:rowOff>
    </xdr:from>
    <xdr:to>
      <xdr:col>20</xdr:col>
      <xdr:colOff>402566</xdr:colOff>
      <xdr:row>26</xdr:row>
      <xdr:rowOff>139700</xdr:rowOff>
    </xdr:to>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B994477-92BF-481A-AB46-A87D37CFEF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613899" y="2837180"/>
              <a:ext cx="4504667" cy="24536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569652</xdr:colOff>
      <xdr:row>28</xdr:row>
      <xdr:rowOff>50376</xdr:rowOff>
    </xdr:from>
    <xdr:to>
      <xdr:col>6</xdr:col>
      <xdr:colOff>406893</xdr:colOff>
      <xdr:row>41</xdr:row>
      <xdr:rowOff>96175</xdr:rowOff>
    </xdr:to>
    <xdr:graphicFrame macro="">
      <xdr:nvGraphicFramePr>
        <xdr:cNvPr id="57" name="Chart 56">
          <a:extLst>
            <a:ext uri="{FF2B5EF4-FFF2-40B4-BE49-F238E27FC236}">
              <a16:creationId xmlns:a16="http://schemas.microsoft.com/office/drawing/2014/main" id="{F895BC62-8F1E-48F2-A806-2342B21DC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twoCellAnchor>
  <xdr:twoCellAnchor>
    <xdr:from>
      <xdr:col>6</xdr:col>
      <xdr:colOff>367740</xdr:colOff>
      <xdr:row>28</xdr:row>
      <xdr:rowOff>33680</xdr:rowOff>
    </xdr:from>
    <xdr:to>
      <xdr:col>12</xdr:col>
      <xdr:colOff>95250</xdr:colOff>
      <xdr:row>40</xdr:row>
      <xdr:rowOff>23812</xdr:rowOff>
    </xdr:to>
    <xdr:graphicFrame macro="">
      <xdr:nvGraphicFramePr>
        <xdr:cNvPr id="58" name="Chart 57">
          <a:extLst>
            <a:ext uri="{FF2B5EF4-FFF2-40B4-BE49-F238E27FC236}">
              <a16:creationId xmlns:a16="http://schemas.microsoft.com/office/drawing/2014/main" id="{42AED930-33CD-4755-B505-16F5B46C1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143163</xdr:colOff>
      <xdr:row>7</xdr:row>
      <xdr:rowOff>40132</xdr:rowOff>
    </xdr:from>
    <xdr:to>
      <xdr:col>7</xdr:col>
      <xdr:colOff>666205</xdr:colOff>
      <xdr:row>9</xdr:row>
      <xdr:rowOff>159537</xdr:rowOff>
    </xdr:to>
    <xdr:pic>
      <xdr:nvPicPr>
        <xdr:cNvPr id="60" name="Graphic 59" descr="Business Growth with solid fill">
          <a:extLst>
            <a:ext uri="{FF2B5EF4-FFF2-40B4-BE49-F238E27FC236}">
              <a16:creationId xmlns:a16="http://schemas.microsoft.com/office/drawing/2014/main" id="{9604C6CB-77D8-8C51-C55A-098C2B91323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69163" y="1411732"/>
          <a:ext cx="523042" cy="511291"/>
        </a:xfrm>
        <a:prstGeom prst="rect">
          <a:avLst/>
        </a:prstGeom>
      </xdr:spPr>
    </xdr:pic>
    <xdr:clientData/>
  </xdr:twoCellAnchor>
  <xdr:twoCellAnchor editAs="oneCell">
    <xdr:from>
      <xdr:col>19</xdr:col>
      <xdr:colOff>354521</xdr:colOff>
      <xdr:row>7</xdr:row>
      <xdr:rowOff>69948</xdr:rowOff>
    </xdr:from>
    <xdr:to>
      <xdr:col>20</xdr:col>
      <xdr:colOff>62690</xdr:colOff>
      <xdr:row>9</xdr:row>
      <xdr:rowOff>60459</xdr:rowOff>
    </xdr:to>
    <xdr:pic>
      <xdr:nvPicPr>
        <xdr:cNvPr id="62" name="Picture 61">
          <a:extLst>
            <a:ext uri="{FF2B5EF4-FFF2-40B4-BE49-F238E27FC236}">
              <a16:creationId xmlns:a16="http://schemas.microsoft.com/office/drawing/2014/main" id="{4F7D2717-863E-56CC-8553-C49886EF0D2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453664" y="1441548"/>
          <a:ext cx="397597" cy="382397"/>
        </a:xfrm>
        <a:prstGeom prst="rect">
          <a:avLst/>
        </a:prstGeom>
      </xdr:spPr>
    </xdr:pic>
    <xdr:clientData/>
  </xdr:twoCellAnchor>
  <xdr:twoCellAnchor editAs="oneCell">
    <xdr:from>
      <xdr:col>15</xdr:col>
      <xdr:colOff>413657</xdr:colOff>
      <xdr:row>7</xdr:row>
      <xdr:rowOff>33114</xdr:rowOff>
    </xdr:from>
    <xdr:to>
      <xdr:col>16</xdr:col>
      <xdr:colOff>217715</xdr:colOff>
      <xdr:row>9</xdr:row>
      <xdr:rowOff>116442</xdr:rowOff>
    </xdr:to>
    <xdr:pic>
      <xdr:nvPicPr>
        <xdr:cNvPr id="64" name="Picture 63">
          <a:extLst>
            <a:ext uri="{FF2B5EF4-FFF2-40B4-BE49-F238E27FC236}">
              <a16:creationId xmlns:a16="http://schemas.microsoft.com/office/drawing/2014/main" id="{7366E5F0-4E10-AA82-82ED-45ECA042849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755086" y="1404714"/>
          <a:ext cx="493486" cy="475214"/>
        </a:xfrm>
        <a:prstGeom prst="rect">
          <a:avLst/>
        </a:prstGeom>
      </xdr:spPr>
    </xdr:pic>
    <xdr:clientData/>
  </xdr:twoCellAnchor>
  <xdr:twoCellAnchor editAs="oneCell">
    <xdr:from>
      <xdr:col>11</xdr:col>
      <xdr:colOff>545675</xdr:colOff>
      <xdr:row>7</xdr:row>
      <xdr:rowOff>44914</xdr:rowOff>
    </xdr:from>
    <xdr:to>
      <xdr:col>12</xdr:col>
      <xdr:colOff>383548</xdr:colOff>
      <xdr:row>9</xdr:row>
      <xdr:rowOff>161970</xdr:rowOff>
    </xdr:to>
    <xdr:pic>
      <xdr:nvPicPr>
        <xdr:cNvPr id="66" name="Picture 65">
          <a:extLst>
            <a:ext uri="{FF2B5EF4-FFF2-40B4-BE49-F238E27FC236}">
              <a16:creationId xmlns:a16="http://schemas.microsoft.com/office/drawing/2014/main" id="{C9531928-9F0E-BD37-2CD9-360F744AF37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129389" y="1416514"/>
          <a:ext cx="527302" cy="508942"/>
        </a:xfrm>
        <a:prstGeom prst="rect">
          <a:avLst/>
        </a:prstGeom>
      </xdr:spPr>
    </xdr:pic>
    <xdr:clientData/>
  </xdr:twoCellAnchor>
  <xdr:twoCellAnchor>
    <xdr:from>
      <xdr:col>12</xdr:col>
      <xdr:colOff>36614</xdr:colOff>
      <xdr:row>29</xdr:row>
      <xdr:rowOff>61534</xdr:rowOff>
    </xdr:from>
    <xdr:to>
      <xdr:col>16</xdr:col>
      <xdr:colOff>380999</xdr:colOff>
      <xdr:row>40</xdr:row>
      <xdr:rowOff>23812</xdr:rowOff>
    </xdr:to>
    <xdr:graphicFrame macro="">
      <xdr:nvGraphicFramePr>
        <xdr:cNvPr id="67" name="Chart 66">
          <a:extLst>
            <a:ext uri="{FF2B5EF4-FFF2-40B4-BE49-F238E27FC236}">
              <a16:creationId xmlns:a16="http://schemas.microsoft.com/office/drawing/2014/main" id="{BBEF0E84-2EDB-45C9-8A8B-0E8098870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18</xdr:col>
      <xdr:colOff>536684</xdr:colOff>
      <xdr:row>29</xdr:row>
      <xdr:rowOff>93212</xdr:rowOff>
    </xdr:from>
    <xdr:to>
      <xdr:col>20</xdr:col>
      <xdr:colOff>379361</xdr:colOff>
      <xdr:row>35</xdr:row>
      <xdr:rowOff>169795</xdr:rowOff>
    </xdr:to>
    <mc:AlternateContent xmlns:mc="http://schemas.openxmlformats.org/markup-compatibility/2006">
      <mc:Choice xmlns:a14="http://schemas.microsoft.com/office/drawing/2010/main" Requires="a14">
        <xdr:graphicFrame macro="">
          <xdr:nvGraphicFramePr>
            <xdr:cNvPr id="68" name="Department 2">
              <a:extLst>
                <a:ext uri="{FF2B5EF4-FFF2-40B4-BE49-F238E27FC236}">
                  <a16:creationId xmlns:a16="http://schemas.microsoft.com/office/drawing/2014/main" id="{65328A8F-AB72-4DFF-BF7F-2B45DAC5DE2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2823934" y="5617712"/>
              <a:ext cx="1207927" cy="1219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362858</xdr:colOff>
      <xdr:row>29</xdr:row>
      <xdr:rowOff>77494</xdr:rowOff>
    </xdr:from>
    <xdr:to>
      <xdr:col>18</xdr:col>
      <xdr:colOff>544229</xdr:colOff>
      <xdr:row>40</xdr:row>
      <xdr:rowOff>107156</xdr:rowOff>
    </xdr:to>
    <mc:AlternateContent xmlns:mc="http://schemas.openxmlformats.org/markup-compatibility/2006">
      <mc:Choice xmlns:a14="http://schemas.microsoft.com/office/drawing/2010/main" Requires="a14">
        <xdr:graphicFrame macro="">
          <xdr:nvGraphicFramePr>
            <xdr:cNvPr id="69" name="Education Field 1">
              <a:extLst>
                <a:ext uri="{FF2B5EF4-FFF2-40B4-BE49-F238E27FC236}">
                  <a16:creationId xmlns:a16="http://schemas.microsoft.com/office/drawing/2014/main" id="{80BE4A17-D2E7-4F6C-9C5A-CD5D4BAF72B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1284858" y="5601994"/>
              <a:ext cx="1546621" cy="2125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565027</xdr:colOff>
      <xdr:row>1</xdr:row>
      <xdr:rowOff>115546</xdr:rowOff>
    </xdr:from>
    <xdr:to>
      <xdr:col>1</xdr:col>
      <xdr:colOff>411722</xdr:colOff>
      <xdr:row>4</xdr:row>
      <xdr:rowOff>34582</xdr:rowOff>
    </xdr:to>
    <xdr:pic>
      <xdr:nvPicPr>
        <xdr:cNvPr id="26" name="Picture 25">
          <a:extLst>
            <a:ext uri="{FF2B5EF4-FFF2-40B4-BE49-F238E27FC236}">
              <a16:creationId xmlns:a16="http://schemas.microsoft.com/office/drawing/2014/main" id="{594EA3F6-2AB6-481B-B85D-ED798A701EC7}"/>
            </a:ext>
          </a:extLst>
        </xdr:cNvPr>
        <xdr:cNvPicPr>
          <a:picLocks noChangeAspect="1"/>
        </xdr:cNvPicPr>
      </xdr:nvPicPr>
      <xdr:blipFill>
        <a:blip xmlns:r="http://schemas.openxmlformats.org/officeDocument/2006/relationships" r:embed="rId1"/>
        <a:stretch>
          <a:fillRect/>
        </a:stretch>
      </xdr:blipFill>
      <xdr:spPr>
        <a:xfrm>
          <a:off x="565027" y="321921"/>
          <a:ext cx="529320" cy="538161"/>
        </a:xfrm>
        <a:prstGeom prst="rect">
          <a:avLst/>
        </a:prstGeom>
      </xdr:spPr>
    </xdr:pic>
    <xdr:clientData/>
  </xdr:twoCellAnchor>
  <xdr:twoCellAnchor editAs="oneCell">
    <xdr:from>
      <xdr:col>2</xdr:col>
      <xdr:colOff>303902</xdr:colOff>
      <xdr:row>0</xdr:row>
      <xdr:rowOff>165264</xdr:rowOff>
    </xdr:from>
    <xdr:to>
      <xdr:col>3</xdr:col>
      <xdr:colOff>414898</xdr:colOff>
      <xdr:row>4</xdr:row>
      <xdr:rowOff>140946</xdr:rowOff>
    </xdr:to>
    <xdr:pic>
      <xdr:nvPicPr>
        <xdr:cNvPr id="27" name="Picture 26">
          <a:extLst>
            <a:ext uri="{FF2B5EF4-FFF2-40B4-BE49-F238E27FC236}">
              <a16:creationId xmlns:a16="http://schemas.microsoft.com/office/drawing/2014/main" id="{AC39642A-3721-4914-A434-28FEA7A631FD}"/>
            </a:ext>
          </a:extLst>
        </xdr:cNvPr>
        <xdr:cNvPicPr>
          <a:picLocks noChangeAspect="1"/>
        </xdr:cNvPicPr>
      </xdr:nvPicPr>
      <xdr:blipFill>
        <a:blip xmlns:r="http://schemas.openxmlformats.org/officeDocument/2006/relationships" r:embed="rId2"/>
        <a:stretch>
          <a:fillRect/>
        </a:stretch>
      </xdr:blipFill>
      <xdr:spPr>
        <a:xfrm>
          <a:off x="1669152" y="165264"/>
          <a:ext cx="793621" cy="801182"/>
        </a:xfrm>
        <a:prstGeom prst="rect">
          <a:avLst/>
        </a:prstGeom>
      </xdr:spPr>
    </xdr:pic>
    <xdr:clientData/>
  </xdr:twoCellAnchor>
  <xdr:twoCellAnchor editAs="oneCell">
    <xdr:from>
      <xdr:col>4</xdr:col>
      <xdr:colOff>475380</xdr:colOff>
      <xdr:row>1</xdr:row>
      <xdr:rowOff>111125</xdr:rowOff>
    </xdr:from>
    <xdr:to>
      <xdr:col>5</xdr:col>
      <xdr:colOff>328541</xdr:colOff>
      <xdr:row>3</xdr:row>
      <xdr:rowOff>182221</xdr:rowOff>
    </xdr:to>
    <xdr:pic>
      <xdr:nvPicPr>
        <xdr:cNvPr id="28" name="Picture 27">
          <a:extLst>
            <a:ext uri="{FF2B5EF4-FFF2-40B4-BE49-F238E27FC236}">
              <a16:creationId xmlns:a16="http://schemas.microsoft.com/office/drawing/2014/main" id="{F9DF1292-8962-4CD3-B0CA-C3EA5240E670}"/>
            </a:ext>
          </a:extLst>
        </xdr:cNvPr>
        <xdr:cNvPicPr>
          <a:picLocks noChangeAspect="1"/>
        </xdr:cNvPicPr>
      </xdr:nvPicPr>
      <xdr:blipFill>
        <a:blip xmlns:r="http://schemas.openxmlformats.org/officeDocument/2006/relationships" r:embed="rId3"/>
        <a:stretch>
          <a:fillRect/>
        </a:stretch>
      </xdr:blipFill>
      <xdr:spPr>
        <a:xfrm>
          <a:off x="3205880" y="317500"/>
          <a:ext cx="535786" cy="483846"/>
        </a:xfrm>
        <a:prstGeom prst="rect">
          <a:avLst/>
        </a:prstGeom>
      </xdr:spPr>
    </xdr:pic>
    <xdr:clientData/>
  </xdr:twoCellAnchor>
  <xdr:twoCellAnchor editAs="oneCell">
    <xdr:from>
      <xdr:col>6</xdr:col>
      <xdr:colOff>472048</xdr:colOff>
      <xdr:row>1</xdr:row>
      <xdr:rowOff>61197</xdr:rowOff>
    </xdr:from>
    <xdr:to>
      <xdr:col>7</xdr:col>
      <xdr:colOff>274980</xdr:colOff>
      <xdr:row>3</xdr:row>
      <xdr:rowOff>139725</xdr:rowOff>
    </xdr:to>
    <xdr:pic>
      <xdr:nvPicPr>
        <xdr:cNvPr id="29" name="Picture 28">
          <a:extLst>
            <a:ext uri="{FF2B5EF4-FFF2-40B4-BE49-F238E27FC236}">
              <a16:creationId xmlns:a16="http://schemas.microsoft.com/office/drawing/2014/main" id="{608D644B-D978-4038-8C0F-6B8817A16BCD}"/>
            </a:ext>
          </a:extLst>
        </xdr:cNvPr>
        <xdr:cNvPicPr>
          <a:picLocks noChangeAspect="1"/>
        </xdr:cNvPicPr>
      </xdr:nvPicPr>
      <xdr:blipFill>
        <a:blip xmlns:r="http://schemas.openxmlformats.org/officeDocument/2006/relationships" r:embed="rId4"/>
        <a:stretch>
          <a:fillRect/>
        </a:stretch>
      </xdr:blipFill>
      <xdr:spPr>
        <a:xfrm>
          <a:off x="4567798" y="267572"/>
          <a:ext cx="485557" cy="491278"/>
        </a:xfrm>
        <a:prstGeom prst="rect">
          <a:avLst/>
        </a:prstGeom>
      </xdr:spPr>
    </xdr:pic>
    <xdr:clientData/>
  </xdr:twoCellAnchor>
  <xdr:twoCellAnchor editAs="oneCell">
    <xdr:from>
      <xdr:col>8</xdr:col>
      <xdr:colOff>321021</xdr:colOff>
      <xdr:row>1</xdr:row>
      <xdr:rowOff>61196</xdr:rowOff>
    </xdr:from>
    <xdr:to>
      <xdr:col>9</xdr:col>
      <xdr:colOff>165106</xdr:colOff>
      <xdr:row>3</xdr:row>
      <xdr:rowOff>166345</xdr:rowOff>
    </xdr:to>
    <xdr:pic>
      <xdr:nvPicPr>
        <xdr:cNvPr id="30" name="Picture 29">
          <a:extLst>
            <a:ext uri="{FF2B5EF4-FFF2-40B4-BE49-F238E27FC236}">
              <a16:creationId xmlns:a16="http://schemas.microsoft.com/office/drawing/2014/main" id="{C3343A16-1566-4FB1-ADF4-33E0459F5348}"/>
            </a:ext>
          </a:extLst>
        </xdr:cNvPr>
        <xdr:cNvPicPr>
          <a:picLocks noChangeAspect="1"/>
        </xdr:cNvPicPr>
      </xdr:nvPicPr>
      <xdr:blipFill>
        <a:blip xmlns:r="http://schemas.openxmlformats.org/officeDocument/2006/relationships" r:embed="rId5"/>
        <a:stretch>
          <a:fillRect/>
        </a:stretch>
      </xdr:blipFill>
      <xdr:spPr>
        <a:xfrm>
          <a:off x="5782021" y="267571"/>
          <a:ext cx="526710" cy="517899"/>
        </a:xfrm>
        <a:prstGeom prst="rect">
          <a:avLst/>
        </a:prstGeom>
      </xdr:spPr>
    </xdr:pic>
    <xdr:clientData/>
  </xdr:twoCellAnchor>
  <xdr:twoCellAnchor editAs="oneCell">
    <xdr:from>
      <xdr:col>0</xdr:col>
      <xdr:colOff>500622</xdr:colOff>
      <xdr:row>6</xdr:row>
      <xdr:rowOff>52046</xdr:rowOff>
    </xdr:from>
    <xdr:to>
      <xdr:col>1</xdr:col>
      <xdr:colOff>584920</xdr:colOff>
      <xdr:row>10</xdr:row>
      <xdr:rowOff>23733</xdr:rowOff>
    </xdr:to>
    <xdr:pic>
      <xdr:nvPicPr>
        <xdr:cNvPr id="31" name="Graphic 30" descr="Female Profile with solid fill">
          <a:extLst>
            <a:ext uri="{FF2B5EF4-FFF2-40B4-BE49-F238E27FC236}">
              <a16:creationId xmlns:a16="http://schemas.microsoft.com/office/drawing/2014/main" id="{F758EDA1-E5EB-4782-8584-C02D06F5DDD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00622" y="1290296"/>
          <a:ext cx="766923" cy="797187"/>
        </a:xfrm>
        <a:prstGeom prst="rect">
          <a:avLst/>
        </a:prstGeom>
      </xdr:spPr>
    </xdr:pic>
    <xdr:clientData/>
  </xdr:twoCellAnchor>
  <xdr:twoCellAnchor editAs="oneCell">
    <xdr:from>
      <xdr:col>2</xdr:col>
      <xdr:colOff>189472</xdr:colOff>
      <xdr:row>5</xdr:row>
      <xdr:rowOff>166346</xdr:rowOff>
    </xdr:from>
    <xdr:to>
      <xdr:col>3</xdr:col>
      <xdr:colOff>343699</xdr:colOff>
      <xdr:row>10</xdr:row>
      <xdr:rowOff>16280</xdr:rowOff>
    </xdr:to>
    <xdr:pic>
      <xdr:nvPicPr>
        <xdr:cNvPr id="32" name="Graphic 31" descr="Male profile with solid fill">
          <a:extLst>
            <a:ext uri="{FF2B5EF4-FFF2-40B4-BE49-F238E27FC236}">
              <a16:creationId xmlns:a16="http://schemas.microsoft.com/office/drawing/2014/main" id="{1537B4F7-34DE-4417-AFD8-E2226BE1C68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54722" y="1198221"/>
          <a:ext cx="836852" cy="8818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a" refreshedDate="46013.50767939815" createdVersion="8" refreshedVersion="8" minRefreshableVersion="3" recordCount="1470" xr:uid="{436C90F6-8971-4086-AD5A-A6D099F30AF0}">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49366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B2FA0-8CB9-40C1-B46E-16673DD446B6}" name="PIVOTABLE 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rowPageCount="1" colPageCount="1"/>
  <pivotFields count="44">
    <pivotField axis="axisPage"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item="1" hier="-1"/>
  </pageField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A36A20-4AB2-4C91-88B5-0B7FD120A8A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5596F6-EDDD-4D02-952D-7D991C3CE0C3}" name="PIVOTABLE 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09DC35-E0F9-4624-84B0-65B747C6E5FC}" name="Emp by Gender"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C290E-CC21-481F-8F40-FE31DBC30EF5}" name="Edu w Attr"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pageFields count="1">
    <pageField fld="0" item="1" hier="-1"/>
  </pageFields>
  <dataFields count="1">
    <dataField name="Count of Employee Number" fld="7" subtotal="count" baseField="23"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4693BC-43CC-4577-9E38-C4DAC775FEFC}" name="Attr by Job"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2"/>
    </i>
    <i>
      <x v="7"/>
    </i>
    <i>
      <x v="6"/>
    </i>
    <i>
      <x v="8"/>
    </i>
    <i>
      <x v="1"/>
    </i>
    <i>
      <x v="4"/>
    </i>
    <i>
      <x/>
    </i>
    <i>
      <x v="3"/>
    </i>
    <i>
      <x v="5"/>
    </i>
    <i t="grand">
      <x/>
    </i>
  </rowItems>
  <colItems count="1">
    <i/>
  </colItems>
  <pageFields count="1">
    <pageField fld="0" item="1" hier="-1"/>
  </pageFields>
  <dataFields count="1">
    <dataField name="Count of Employee Number" fld="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0A55FA-FD01-4A10-BA9B-EC39F5BDEA06}" name="Dept by At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rowPageCount="1" colPageCount="1"/>
  <pivotFields count="44">
    <pivotField axis="axisPage" showAll="0">
      <items count="3">
        <item x="1"/>
        <item x="0"/>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i>
    <i>
      <x v="2"/>
    </i>
    <i t="grand">
      <x/>
    </i>
  </rowItems>
  <colItems count="1">
    <i/>
  </colItems>
  <pageFields count="1">
    <pageField fld="0" item="1" hier="-1"/>
  </pageFields>
  <dataFields count="1">
    <dataField name="Count of emp no" fld="6" subtotal="count" showDataAs="percentOfTotal" baseField="0" baseItem="0" numFmtId="10"/>
  </dataFields>
  <formats count="1">
    <format dxfId="23">
      <pivotArea collapsedLevelsAreSubtotals="1" fieldPosition="0">
        <references count="1">
          <reference field="4" count="0"/>
        </references>
      </pivotArea>
    </format>
  </format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1"/>
          </reference>
        </references>
      </pivotArea>
    </chartFormat>
    <chartFormat chart="7" format="2">
      <pivotArea type="data" outline="0" fieldPosition="0">
        <references count="2">
          <reference field="4294967294" count="1" selected="0">
            <x v="0"/>
          </reference>
          <reference field="4" count="1" selected="0">
            <x v="0"/>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4" count="1" selected="0">
            <x v="1"/>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1"/>
          </reference>
        </references>
      </pivotArea>
    </chartFormat>
    <chartFormat chart="12" format="10">
      <pivotArea type="data" outline="0" fieldPosition="0">
        <references count="2">
          <reference field="4294967294" count="1" selected="0">
            <x v="0"/>
          </reference>
          <reference field="4" count="1" selected="0">
            <x v="0"/>
          </reference>
        </references>
      </pivotArea>
    </chartFormat>
    <chartFormat chart="12" format="11">
      <pivotArea type="data" outline="0" fieldPosition="0">
        <references count="2">
          <reference field="4294967294" count="1" selected="0">
            <x v="0"/>
          </reference>
          <reference field="4" count="1" selected="0">
            <x v="2"/>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4" count="1" selected="0">
            <x v="1"/>
          </reference>
        </references>
      </pivotArea>
    </chartFormat>
    <chartFormat chart="22" format="18">
      <pivotArea type="data" outline="0" fieldPosition="0">
        <references count="2">
          <reference field="4294967294" count="1" selected="0">
            <x v="0"/>
          </reference>
          <reference field="4" count="1" selected="0">
            <x v="0"/>
          </reference>
        </references>
      </pivotArea>
    </chartFormat>
    <chartFormat chart="22"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F86E6D-6849-442E-A891-84CDA1505BC1}" name="Dept by Ag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rowPageCount="1" colPageCount="1"/>
  <pivotFields count="44">
    <pivotField axis="axisPage" showAll="0">
      <items count="3">
        <item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dataField="1"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pageFields count="1">
    <pageField fld="0" item="1" hier="-1"/>
  </pageFields>
  <dataFields count="1">
    <dataField name="Count of Education Field" fld="5"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1BCACB-1CDA-4845-B598-611F0D5E172D}" name="Mari status by At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44">
    <pivotField axis="axisPage"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pageFields count="1">
    <pageField fld="0" item="1" hier="-1"/>
  </pageField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A3D7D7-CF6B-4F8A-9D83-663D904347E6}" sourceName="Gender">
  <pivotTables>
    <pivotTable tabId="20" name="Emp by Gender"/>
  </pivotTables>
  <data>
    <tabular pivotCacheId="13493667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A185CA0-755F-4154-BC59-1BE8581B9C97}" sourceName="Department">
  <pivotTables>
    <pivotTable tabId="25" name="Mari status by Att"/>
    <pivotTable tabId="22" name="Attr by Job"/>
    <pivotTable tabId="24" name="Dept by Age"/>
    <pivotTable tabId="23" name="Dept by Att"/>
    <pivotTable tabId="21" name="Edu w Attr"/>
    <pivotTable tabId="19" name="PIVOTABLE 1"/>
    <pivotTable tabId="19" name="PIVOTABLE 2"/>
    <pivotTable tabId="19" name="PivotTable3"/>
    <pivotTable tabId="20" name="Emp by Gender"/>
  </pivotTables>
  <data>
    <tabular pivotCacheId="134936675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EDEFBEE-002A-4E70-B5E8-C64B90181068}" sourceName="Education Field">
  <pivotTables>
    <pivotTable tabId="25" name="Mari status by Att"/>
    <pivotTable tabId="22" name="Attr by Job"/>
    <pivotTable tabId="24" name="Dept by Age"/>
    <pivotTable tabId="23" name="Dept by Att"/>
    <pivotTable tabId="21" name="Edu w Attr"/>
    <pivotTable tabId="19" name="PIVOTABLE 1"/>
    <pivotTable tabId="19" name="PIVOTABLE 2"/>
    <pivotTable tabId="19" name="PivotTable3"/>
    <pivotTable tabId="20" name="Emp by Gender"/>
  </pivotTables>
  <data>
    <tabular pivotCacheId="134936675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A93235F-65FF-4785-A5BC-5BAAF51EF680}" cache="Slicer_Gender" caption="Gender" rowHeight="260350"/>
  <slicer name="Department" xr10:uid="{D3EC6855-AF08-4963-9A3E-C5103A19641B}" cache="Slicer_Department1"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BCBBDA3-1E4F-42C3-976E-ECC37C239D7A}" cache="Slicer_Department1" caption="Department" rowHeight="260350"/>
  <slicer name="Education Field" xr10:uid="{6452D589-DEC9-4558-8342-F2CEB96AE31A}" cache="Slicer_Education_Field"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459FE8A3-46FE-4BF3-A68B-3D93C5056999}" cache="Slicer_Department1" caption="Department" style="Slicer" rowHeight="274320"/>
  <slicer name="Education Field 1" xr10:uid="{E3039630-7587-4E01-9FA7-0B9D98695946}" cache="Slicer_Education_Field" caption="Education Field"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0615-9F66-4366-9C33-4FDA98D1CA1E}">
  <dimension ref="A5:D24"/>
  <sheetViews>
    <sheetView topLeftCell="A9" workbookViewId="0">
      <selection activeCell="D24" sqref="D24"/>
    </sheetView>
  </sheetViews>
  <sheetFormatPr defaultRowHeight="15.6" x14ac:dyDescent="0.3"/>
  <cols>
    <col min="1" max="1" width="13.5" bestFit="1" customWidth="1"/>
    <col min="2" max="2" width="5.69921875" bestFit="1" customWidth="1"/>
  </cols>
  <sheetData>
    <row r="5" spans="1:4" x14ac:dyDescent="0.3">
      <c r="A5" t="s">
        <v>1555</v>
      </c>
      <c r="D5" t="s">
        <v>1557</v>
      </c>
    </row>
    <row r="6" spans="1:4" x14ac:dyDescent="0.3">
      <c r="A6" s="8">
        <v>1470</v>
      </c>
      <c r="D6">
        <f>GETPIVOTDATA("emp no",$A$5)</f>
        <v>1470</v>
      </c>
    </row>
    <row r="11" spans="1:4" x14ac:dyDescent="0.3">
      <c r="A11" s="1" t="s">
        <v>0</v>
      </c>
      <c r="B11" t="s">
        <v>44</v>
      </c>
    </row>
    <row r="13" spans="1:4" x14ac:dyDescent="0.3">
      <c r="A13" t="s">
        <v>1554</v>
      </c>
      <c r="D13" t="s">
        <v>1558</v>
      </c>
    </row>
    <row r="14" spans="1:4" x14ac:dyDescent="0.3">
      <c r="A14" s="8">
        <v>237</v>
      </c>
      <c r="D14">
        <f>GETPIVOTDATA("Attrition",$A$13)</f>
        <v>237</v>
      </c>
    </row>
    <row r="17" spans="1:4" x14ac:dyDescent="0.3">
      <c r="D17" t="s">
        <v>1559</v>
      </c>
    </row>
    <row r="18" spans="1:4" x14ac:dyDescent="0.3">
      <c r="D18">
        <f>D6-D14</f>
        <v>1233</v>
      </c>
    </row>
    <row r="20" spans="1:4" x14ac:dyDescent="0.3">
      <c r="A20" t="s">
        <v>1556</v>
      </c>
      <c r="D20" t="s">
        <v>1560</v>
      </c>
    </row>
    <row r="21" spans="1:4" x14ac:dyDescent="0.3">
      <c r="A21" s="2">
        <v>36.923809523809524</v>
      </c>
      <c r="D21" s="3">
        <f>D14/D6</f>
        <v>0.16122448979591836</v>
      </c>
    </row>
    <row r="23" spans="1:4" x14ac:dyDescent="0.3">
      <c r="D23" t="s">
        <v>1561</v>
      </c>
    </row>
    <row r="24" spans="1:4" x14ac:dyDescent="0.3">
      <c r="D24" s="2">
        <f>GETPIVOTDATA("Age",$A$20)</f>
        <v>36.923809523809524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04C4-52C8-4E13-BB30-266B92348530}">
  <dimension ref="A3:C9"/>
  <sheetViews>
    <sheetView workbookViewId="0">
      <selection activeCell="B3" sqref="B3"/>
    </sheetView>
  </sheetViews>
  <sheetFormatPr defaultRowHeight="15.6" x14ac:dyDescent="0.3"/>
  <cols>
    <col min="1" max="1" width="12.296875" bestFit="1" customWidth="1"/>
    <col min="2" max="2" width="21.296875" bestFit="1" customWidth="1"/>
  </cols>
  <sheetData>
    <row r="3" spans="1:3" x14ac:dyDescent="0.3">
      <c r="A3" s="1" t="s">
        <v>1562</v>
      </c>
      <c r="B3" t="s">
        <v>1564</v>
      </c>
    </row>
    <row r="4" spans="1:3" x14ac:dyDescent="0.3">
      <c r="A4" s="4" t="s">
        <v>51</v>
      </c>
      <c r="B4" s="8">
        <v>588</v>
      </c>
    </row>
    <row r="5" spans="1:3" x14ac:dyDescent="0.3">
      <c r="A5" s="4" t="s">
        <v>62</v>
      </c>
      <c r="B5" s="8">
        <v>882</v>
      </c>
    </row>
    <row r="6" spans="1:3" x14ac:dyDescent="0.3">
      <c r="A6" s="4" t="s">
        <v>1563</v>
      </c>
      <c r="B6" s="8">
        <v>1470</v>
      </c>
    </row>
    <row r="8" spans="1:3" x14ac:dyDescent="0.3">
      <c r="A8" s="4" t="s">
        <v>51</v>
      </c>
      <c r="B8">
        <f>IFERROR(GETPIVOTDATA("Employee Count",$A$3,"Gender","Female"),0)</f>
        <v>588</v>
      </c>
      <c r="C8" s="5">
        <f>IFERROR(B8/($B$8+$B$9),0)</f>
        <v>0.4</v>
      </c>
    </row>
    <row r="9" spans="1:3" x14ac:dyDescent="0.3">
      <c r="A9" s="4" t="s">
        <v>62</v>
      </c>
      <c r="B9">
        <f>IFERROR(GETPIVOTDATA("Employee Count",$A$3,"Gender","Male"),0)</f>
        <v>882</v>
      </c>
      <c r="C9" s="5">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AE532-C50F-42C8-B728-51E3114FFAAC}">
  <dimension ref="A1:B9"/>
  <sheetViews>
    <sheetView workbookViewId="0"/>
  </sheetViews>
  <sheetFormatPr defaultRowHeight="15.6" x14ac:dyDescent="0.3"/>
  <cols>
    <col min="1" max="1" width="16" bestFit="1" customWidth="1"/>
    <col min="2" max="2" width="24.5" bestFit="1" customWidth="1"/>
  </cols>
  <sheetData>
    <row r="1" spans="1:2" x14ac:dyDescent="0.3">
      <c r="A1" s="1" t="s">
        <v>0</v>
      </c>
      <c r="B1" t="s">
        <v>44</v>
      </c>
    </row>
    <row r="3" spans="1:2" x14ac:dyDescent="0.3">
      <c r="A3" s="1" t="s">
        <v>1562</v>
      </c>
      <c r="B3" t="s">
        <v>1565</v>
      </c>
    </row>
    <row r="4" spans="1:2" x14ac:dyDescent="0.3">
      <c r="A4" s="4" t="s">
        <v>134</v>
      </c>
      <c r="B4" s="8">
        <v>5</v>
      </c>
    </row>
    <row r="5" spans="1:2" x14ac:dyDescent="0.3">
      <c r="A5" s="4" t="s">
        <v>65</v>
      </c>
      <c r="B5" s="8">
        <v>31</v>
      </c>
    </row>
    <row r="6" spans="1:2" x14ac:dyDescent="0.3">
      <c r="A6" s="4" t="s">
        <v>55</v>
      </c>
      <c r="B6" s="8">
        <v>44</v>
      </c>
    </row>
    <row r="7" spans="1:2" x14ac:dyDescent="0.3">
      <c r="A7" s="4" t="s">
        <v>71</v>
      </c>
      <c r="B7" s="8">
        <v>58</v>
      </c>
    </row>
    <row r="8" spans="1:2" x14ac:dyDescent="0.3">
      <c r="A8" s="4" t="s">
        <v>77</v>
      </c>
      <c r="B8" s="8">
        <v>99</v>
      </c>
    </row>
    <row r="9" spans="1:2" x14ac:dyDescent="0.3">
      <c r="A9" s="4" t="s">
        <v>1563</v>
      </c>
      <c r="B9" s="8">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4CB4-EAE9-4613-9378-EE9AF8697366}">
  <dimension ref="A1:E13"/>
  <sheetViews>
    <sheetView workbookViewId="0"/>
  </sheetViews>
  <sheetFormatPr defaultRowHeight="15.6" x14ac:dyDescent="0.3"/>
  <cols>
    <col min="1" max="1" width="23.296875" bestFit="1" customWidth="1"/>
    <col min="2" max="2" width="24.5" bestFit="1" customWidth="1"/>
    <col min="4" max="4" width="25.69921875" customWidth="1"/>
  </cols>
  <sheetData>
    <row r="1" spans="1:5" x14ac:dyDescent="0.3">
      <c r="A1" s="1" t="s">
        <v>0</v>
      </c>
      <c r="B1" t="s">
        <v>44</v>
      </c>
    </row>
    <row r="3" spans="1:5" x14ac:dyDescent="0.3">
      <c r="A3" s="1" t="s">
        <v>1562</v>
      </c>
      <c r="B3" t="s">
        <v>1565</v>
      </c>
    </row>
    <row r="4" spans="1:5" x14ac:dyDescent="0.3">
      <c r="A4" s="4" t="s">
        <v>68</v>
      </c>
      <c r="B4" s="8">
        <v>62</v>
      </c>
      <c r="D4" t="str">
        <f>A4</f>
        <v>Laboratory Technician</v>
      </c>
      <c r="E4">
        <f>B4</f>
        <v>62</v>
      </c>
    </row>
    <row r="5" spans="1:5" x14ac:dyDescent="0.3">
      <c r="A5" s="4" t="s">
        <v>52</v>
      </c>
      <c r="B5" s="8">
        <v>57</v>
      </c>
      <c r="D5" t="str">
        <f t="shared" ref="D5:D8" si="0">A5</f>
        <v>Sales Executive</v>
      </c>
      <c r="E5">
        <f t="shared" ref="E5:E8" si="1">B5</f>
        <v>57</v>
      </c>
    </row>
    <row r="6" spans="1:5" x14ac:dyDescent="0.3">
      <c r="A6" s="4" t="s">
        <v>63</v>
      </c>
      <c r="B6" s="8">
        <v>47</v>
      </c>
      <c r="D6" t="str">
        <f t="shared" si="0"/>
        <v>Research Scientist</v>
      </c>
      <c r="E6">
        <f t="shared" si="1"/>
        <v>47</v>
      </c>
    </row>
    <row r="7" spans="1:5" x14ac:dyDescent="0.3">
      <c r="A7" s="4" t="s">
        <v>99</v>
      </c>
      <c r="B7" s="8">
        <v>33</v>
      </c>
      <c r="D7" t="str">
        <f t="shared" si="0"/>
        <v>Sales Representative</v>
      </c>
      <c r="E7">
        <f t="shared" si="1"/>
        <v>33</v>
      </c>
    </row>
    <row r="8" spans="1:5" x14ac:dyDescent="0.3">
      <c r="A8" s="4" t="s">
        <v>163</v>
      </c>
      <c r="B8" s="8">
        <v>12</v>
      </c>
      <c r="D8" t="str">
        <f t="shared" si="0"/>
        <v>Human Resources</v>
      </c>
      <c r="E8">
        <f t="shared" si="1"/>
        <v>12</v>
      </c>
    </row>
    <row r="9" spans="1:5" x14ac:dyDescent="0.3">
      <c r="A9" s="4" t="s">
        <v>81</v>
      </c>
      <c r="B9" s="8">
        <v>10</v>
      </c>
    </row>
    <row r="10" spans="1:5" x14ac:dyDescent="0.3">
      <c r="A10" s="4" t="s">
        <v>83</v>
      </c>
      <c r="B10" s="8">
        <v>9</v>
      </c>
    </row>
    <row r="11" spans="1:5" x14ac:dyDescent="0.3">
      <c r="A11" s="4" t="s">
        <v>95</v>
      </c>
      <c r="B11" s="8">
        <v>5</v>
      </c>
    </row>
    <row r="12" spans="1:5" x14ac:dyDescent="0.3">
      <c r="A12" s="4" t="s">
        <v>101</v>
      </c>
      <c r="B12" s="8">
        <v>2</v>
      </c>
    </row>
    <row r="13" spans="1:5" x14ac:dyDescent="0.3">
      <c r="A13" s="4" t="s">
        <v>1563</v>
      </c>
      <c r="B13" s="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61EF-3A28-4B23-AD5A-8CBF0AE1A157}">
  <dimension ref="A1:B7"/>
  <sheetViews>
    <sheetView workbookViewId="0">
      <selection activeCell="B1" sqref="B1"/>
    </sheetView>
  </sheetViews>
  <sheetFormatPr defaultRowHeight="15.6" x14ac:dyDescent="0.3"/>
  <cols>
    <col min="1" max="1" width="12.296875" bestFit="1" customWidth="1"/>
    <col min="2" max="2" width="15.19921875" bestFit="1" customWidth="1"/>
  </cols>
  <sheetData>
    <row r="1" spans="1:2" x14ac:dyDescent="0.3">
      <c r="A1" s="1" t="s">
        <v>0</v>
      </c>
      <c r="B1" t="s">
        <v>44</v>
      </c>
    </row>
    <row r="3" spans="1:2" x14ac:dyDescent="0.3">
      <c r="A3" s="1" t="s">
        <v>1562</v>
      </c>
      <c r="B3" t="s">
        <v>1555</v>
      </c>
    </row>
    <row r="4" spans="1:2" x14ac:dyDescent="0.3">
      <c r="A4" s="4" t="s">
        <v>60</v>
      </c>
      <c r="B4" s="7">
        <v>0.56118143459915615</v>
      </c>
    </row>
    <row r="5" spans="1:2" x14ac:dyDescent="0.3">
      <c r="A5" s="4" t="s">
        <v>48</v>
      </c>
      <c r="B5" s="7">
        <v>0.3881856540084388</v>
      </c>
    </row>
    <row r="6" spans="1:2" x14ac:dyDescent="0.3">
      <c r="A6" s="4" t="s">
        <v>161</v>
      </c>
      <c r="B6" s="7">
        <v>5.0632911392405063E-2</v>
      </c>
    </row>
    <row r="7" spans="1:2" x14ac:dyDescent="0.3">
      <c r="A7" s="4" t="s">
        <v>1563</v>
      </c>
      <c r="B7" s="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D562-E456-4928-99A6-D4E0AF310E22}">
  <dimension ref="A1:B9"/>
  <sheetViews>
    <sheetView workbookViewId="0">
      <selection activeCell="A3" sqref="A3"/>
    </sheetView>
  </sheetViews>
  <sheetFormatPr defaultRowHeight="15.6" x14ac:dyDescent="0.3"/>
  <cols>
    <col min="1" max="1" width="12.296875" bestFit="1" customWidth="1"/>
    <col min="2" max="2" width="21.8984375" bestFit="1" customWidth="1"/>
  </cols>
  <sheetData>
    <row r="1" spans="1:2" x14ac:dyDescent="0.3">
      <c r="A1" s="1" t="s">
        <v>0</v>
      </c>
      <c r="B1" t="s">
        <v>44</v>
      </c>
    </row>
    <row r="3" spans="1:2" x14ac:dyDescent="0.3">
      <c r="A3" s="1" t="s">
        <v>1562</v>
      </c>
      <c r="B3" t="s">
        <v>1566</v>
      </c>
    </row>
    <row r="4" spans="1:2" x14ac:dyDescent="0.3">
      <c r="A4" s="4" t="s">
        <v>69</v>
      </c>
      <c r="B4" s="8">
        <v>112</v>
      </c>
    </row>
    <row r="5" spans="1:2" x14ac:dyDescent="0.3">
      <c r="A5" s="4" t="s">
        <v>46</v>
      </c>
      <c r="B5" s="8">
        <v>51</v>
      </c>
    </row>
    <row r="6" spans="1:2" x14ac:dyDescent="0.3">
      <c r="A6" s="4" t="s">
        <v>92</v>
      </c>
      <c r="B6" s="8">
        <v>38</v>
      </c>
    </row>
    <row r="7" spans="1:2" x14ac:dyDescent="0.3">
      <c r="A7" s="4" t="s">
        <v>58</v>
      </c>
      <c r="B7" s="8">
        <v>25</v>
      </c>
    </row>
    <row r="8" spans="1:2" x14ac:dyDescent="0.3">
      <c r="A8" s="4" t="s">
        <v>75</v>
      </c>
      <c r="B8" s="8">
        <v>11</v>
      </c>
    </row>
    <row r="9" spans="1:2" x14ac:dyDescent="0.3">
      <c r="A9" s="4" t="s">
        <v>1563</v>
      </c>
      <c r="B9" s="8">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A3CE9-FA69-4BB2-AEA5-23D00E8B6FF9}">
  <dimension ref="A1:E7"/>
  <sheetViews>
    <sheetView workbookViewId="0"/>
  </sheetViews>
  <sheetFormatPr defaultRowHeight="15.6" x14ac:dyDescent="0.3"/>
  <cols>
    <col min="1" max="1" width="12.296875" bestFit="1" customWidth="1"/>
    <col min="2" max="2" width="16" bestFit="1" customWidth="1"/>
    <col min="4" max="4" width="13.19921875" customWidth="1"/>
  </cols>
  <sheetData>
    <row r="1" spans="1:5" x14ac:dyDescent="0.3">
      <c r="A1" s="1" t="s">
        <v>0</v>
      </c>
      <c r="B1" t="s">
        <v>44</v>
      </c>
    </row>
    <row r="3" spans="1:5" x14ac:dyDescent="0.3">
      <c r="A3" s="1" t="s">
        <v>1562</v>
      </c>
      <c r="B3" t="s">
        <v>1554</v>
      </c>
      <c r="D3" t="s">
        <v>1567</v>
      </c>
      <c r="E3" t="s">
        <v>0</v>
      </c>
    </row>
    <row r="4" spans="1:5" x14ac:dyDescent="0.3">
      <c r="A4" s="4" t="s">
        <v>79</v>
      </c>
      <c r="B4" s="8">
        <v>33</v>
      </c>
      <c r="D4" t="str">
        <f>A4</f>
        <v>Divorced</v>
      </c>
      <c r="E4">
        <f>B4</f>
        <v>33</v>
      </c>
    </row>
    <row r="5" spans="1:5" x14ac:dyDescent="0.3">
      <c r="A5" s="4" t="s">
        <v>64</v>
      </c>
      <c r="B5" s="8">
        <v>84</v>
      </c>
      <c r="D5" t="str">
        <f t="shared" ref="D5:D6" si="0">A5</f>
        <v>Married</v>
      </c>
      <c r="E5">
        <f t="shared" ref="E5:E6" si="1">B5</f>
        <v>84</v>
      </c>
    </row>
    <row r="6" spans="1:5" x14ac:dyDescent="0.3">
      <c r="A6" s="4" t="s">
        <v>53</v>
      </c>
      <c r="B6" s="8">
        <v>120</v>
      </c>
      <c r="D6" t="str">
        <f t="shared" si="0"/>
        <v>Single</v>
      </c>
      <c r="E6">
        <f t="shared" si="1"/>
        <v>120</v>
      </c>
    </row>
    <row r="7" spans="1:5" x14ac:dyDescent="0.3">
      <c r="A7" s="4" t="s">
        <v>1563</v>
      </c>
      <c r="B7" s="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topLeftCell="A2" workbookViewId="0">
      <selection activeCell="AD218" sqref="A2:AR1471"/>
    </sheetView>
  </sheetViews>
  <sheetFormatPr defaultRowHeight="15.6" x14ac:dyDescent="0.3"/>
  <cols>
    <col min="1" max="1" width="9.69921875" customWidth="1"/>
    <col min="2" max="2" width="15.3984375" customWidth="1"/>
    <col min="3" max="3" width="13.19921875" customWidth="1"/>
    <col min="4" max="4" width="17.59765625" bestFit="1" customWidth="1"/>
    <col min="5" max="5" width="12.69921875" customWidth="1"/>
    <col min="6" max="6" width="15.5" customWidth="1"/>
    <col min="7" max="7" width="9" customWidth="1"/>
    <col min="8" max="8" width="18.09765625" customWidth="1"/>
    <col min="10" max="10" width="23.19921875" bestFit="1" customWidth="1"/>
    <col min="11" max="11" width="14.3984375" customWidth="1"/>
    <col min="12" max="12" width="11.19921875" customWidth="1"/>
    <col min="14" max="14" width="22.6992187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bestFit="1" customWidth="1"/>
    <col min="25" max="25" width="16.3984375" customWidth="1"/>
    <col min="26" max="26" width="23.59765625" customWidth="1"/>
    <col min="27" max="27" width="12.5" customWidth="1"/>
    <col min="28" max="28" width="16.3984375" customWidth="1"/>
    <col min="29" max="29" width="10.19921875" customWidth="1"/>
    <col min="30" max="30" width="15.69921875" customWidth="1"/>
    <col min="31" max="31" width="16.19921875" customWidth="1"/>
    <col min="32" max="32" width="14" customWidth="1"/>
    <col min="33" max="33" width="23.59765625" customWidth="1"/>
    <col min="34" max="34" width="18.69921875" customWidth="1"/>
    <col min="35" max="35" width="19.09765625" customWidth="1"/>
    <col min="36" max="36" width="23.19921875" customWidth="1"/>
    <col min="37" max="37" width="15.69921875" customWidth="1"/>
    <col min="38" max="38" width="18.19921875" customWidth="1"/>
    <col min="39" max="39" width="19.5" customWidth="1"/>
    <col min="40" max="40" width="17.59765625" customWidth="1"/>
    <col min="41" max="41" width="17.8984375" customWidth="1"/>
    <col min="42" max="42" width="20.19921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25817-EE5A-4BB0-9658-EBBA8BEFADBB}">
  <dimension ref="A1"/>
  <sheetViews>
    <sheetView zoomScale="67" workbookViewId="0">
      <selection activeCell="M27" sqref="M27"/>
    </sheetView>
  </sheetViews>
  <sheetFormatPr defaultRowHeight="15.6"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1C33-EB3B-4066-9544-15AEE1B6C8E9}">
  <dimension ref="A14"/>
  <sheetViews>
    <sheetView showGridLines="0" tabSelected="1" view="pageBreakPreview" zoomScale="48" zoomScaleNormal="70" zoomScaleSheetLayoutView="100" workbookViewId="0">
      <selection activeCell="V32" sqref="V32"/>
    </sheetView>
  </sheetViews>
  <sheetFormatPr defaultColWidth="9" defaultRowHeight="15.6" x14ac:dyDescent="0.3"/>
  <cols>
    <col min="1" max="16384" width="9" style="6"/>
  </cols>
  <sheetData>
    <row r="14" s="6"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6249A-53A4-4D3C-B22A-3234CC22E0FA}">
  <dimension ref="A1"/>
  <sheetViews>
    <sheetView showGridLines="0" zoomScale="60" zoomScaleNormal="60" workbookViewId="0">
      <selection activeCell="D12" sqref="D12"/>
    </sheetView>
  </sheetViews>
  <sheetFormatPr defaultRowHeight="15.6"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KPI</vt:lpstr>
      <vt:lpstr>total employee by gender</vt:lpstr>
      <vt:lpstr>Education wise Attrition</vt:lpstr>
      <vt:lpstr>Attrition by Job Role</vt:lpstr>
      <vt:lpstr>Department wise Attrition</vt:lpstr>
      <vt:lpstr>Department by Age Group</vt:lpstr>
      <vt:lpstr>Marital status by attrition</vt:lpstr>
      <vt:lpstr>DataSet</vt:lpstr>
      <vt:lpstr>Dashboard - Sample</vt:lpstr>
      <vt:lpstr>Blank - Layout</vt:lpstr>
      <vt:lpstr>All Icons used</vt:lpstr>
      <vt:lpstr>KPI_1</vt:lpstr>
      <vt:lpstr>KPI_2</vt:lpstr>
      <vt:lpstr>KPI_3</vt:lpstr>
      <vt:lpstr>KPI_4</vt:lpstr>
      <vt:lpstr>KPI_5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Rafia Amin Raka</cp:lastModifiedBy>
  <dcterms:created xsi:type="dcterms:W3CDTF">2022-12-29T16:02:46Z</dcterms:created>
  <dcterms:modified xsi:type="dcterms:W3CDTF">2025-12-25T19:54:06Z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2023-11-02T14:26:00Z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4bc61c10-b06d-44af-8388-06f620522084</vt:lpwstr>
  </property>
  <property fmtid="{D5CDD505-2E9C-101B-9397-08002B2CF9AE}" pid="8" name="MSIP_Label_defa4170-0d19-0005-0004-bc88714345d2_ContentBits">
    <vt:lpwstr>0</vt:lpwstr>
  </property>
</Properties>
</file>